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962b9dd8879aa496/Documents/"/>
    </mc:Choice>
  </mc:AlternateContent>
  <xr:revisionPtr revIDLastSave="0" documentId="8_{C47061CA-ECE8-4245-A389-C509EE569159}" xr6:coauthVersionLast="47" xr6:coauthVersionMax="47" xr10:uidLastSave="{00000000-0000-0000-0000-000000000000}"/>
  <bookViews>
    <workbookView xWindow="-108" yWindow="-108" windowWidth="23256" windowHeight="12456" xr2:uid="{00000000-000D-0000-FFFF-FFFF00000000}"/>
  </bookViews>
  <sheets>
    <sheet name="bike_buyers" sheetId="1" r:id="rId1"/>
    <sheet name="Working Sheet" sheetId="2" r:id="rId2"/>
    <sheet name="Pivot Tables"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<sst xmlns="http://schemas.openxmlformats.org/spreadsheetml/2006/main" count="16264" uniqueCount="50">
  <si>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</si>
  <si>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</si>
  <si>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</si>
  <si>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</si>
  <si>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</si>
  <si>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</si>
  <si>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</si>
  <si>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</si>
  <si>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</si>
  <si>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</si>
  <si>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</si>
  <si>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</si>
  <si>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</si>
  <si>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</si>
  <si>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</si>
  <si>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</si>
  <si>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</si>
  <si>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</si>
  <si>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</si>
  <si>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</si>
  <si>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</si>
  <si>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</si>
  <si>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</si>
  <si>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</si>
  <si>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</si>
  <si>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</si>
  <si>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</si>
  <si>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</si>
  <si>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</si>
  <si>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</si>
  <si>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</si>
  <si>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</si>
  <si>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</si>
  <si>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</si>
  <si>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</si>
  <si>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</si>
  <si>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</si>
  <si>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</si>
  <si>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</si>
  <si>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</si>
  <si>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More than 10 Miles</t>
  </si>
  <si>
    <t>Age Bracket</t>
  </si>
  <si>
    <t>Row Labels</t>
  </si>
  <si>
    <t>Grand Total</t>
  </si>
  <si>
    <t>Column Labels</t>
  </si>
  <si>
    <t>Average of Income</t>
  </si>
  <si>
    <t>Adolescent</t>
  </si>
  <si>
    <t>Old</t>
  </si>
  <si>
    <t>Count of Purchased Bike</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</si>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</sst>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6"/>
      <color theme="0"/>
      <name val="Bahnschrift SemiLight"/>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0" fontId="0" fillId="0" borderId="0" xfId="0" pivotButton="1" applyNumberFormat="1"/>
    <xf numFmtId="165" fontId="0" fillId="0" borderId="0" xfId="0" applyNumberFormat="1"/>
    <xf numFmtId="166" fontId="0" fillId="0" borderId="0" xfId="0" applyNumberFormat="1"/>
    <xf numFmtId="0" fontId="0" fillId="33" borderId="0" xfId="0" applyFill="1" applyAlignment="1"/>
    <xf numFmtId="0" fontId="0" fillId="33" borderId="0" xfId="0" applyFill="1" applyAlignment="1">
      <alignment horizontal="center" vertic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dxf>
    <dxf>
      <numFmt numFmtId="0" formatCode="General"/>
    </dxf>
    <dxf>
      <numFmt numFmtId="0" formatCode="General"/>
    </dxf>
    <dxf>
      <numFmt numFmtId="166" formatCode="_(* #,##0_);_(* \(#,##0\);_(* &quot;-&quot;??_);_(@_)"/>
    </dxf>
    <dxf>
      <numFmt numFmtId="165" formatCode="&quot;$&quot;#,##0"/>
    </dxf>
    <dxf>
      <numFmt numFmtId="165" formatCode="&quot;$&quot;#,##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Project.xlsx]Pivot Tables!PivotTable1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Tables'!$B$4:$B$5</c:f>
              <c:strCache>
                <c:ptCount val="1"/>
                <c:pt idx="0">
                  <c:v>No</c:v>
                </c:pt>
              </c:strCache>
            </c:strRef>
          </c:tx>
          <c:spPr>
            <a:solidFill>
              <a:schemeClr val="accent1"/>
            </a:solidFill>
            <a:ln>
              <a:noFill/>
            </a:ln>
            <a:effectLst/>
          </c:spPr>
          <c:invertIfNegative val="0"/>
          <c:cat>
            <c:strRef>
              <c:f>'Pivot Tables'!$A$6:$A$8</c:f>
              <c:strCache>
                <c:ptCount val="2"/>
                <c:pt idx="0">
                  <c:v>Female</c:v>
                </c:pt>
                <c:pt idx="1">
                  <c:v>Male</c:v>
                </c:pt>
              </c:strCache>
            </c:strRef>
          </c:cat>
          <c:val>
            <c:numRef>
              <c:f>'Pivot Tables'!$B$6:$B$8</c:f>
              <c:numCache>
                <c:formatCode>_(* #,##0_);_(* \(#,##0\);_(* "-"??_);_(@_)</c:formatCode>
                <c:ptCount val="2"/>
                <c:pt idx="0">
                  <c:v>30000</c:v>
                </c:pt>
                <c:pt idx="1">
                  <c:v>30000</c:v>
                </c:pt>
              </c:numCache>
            </c:numRef>
          </c:val>
          <c:extLst>
            <c:ext xmlns:c16="http://schemas.microsoft.com/office/drawing/2014/chart" uri="{C3380CC4-5D6E-409C-BE32-E72D297353CC}">
              <c16:uniqueId val="{00000000-5DFF-482C-995C-95E76457D90D}"/>
            </c:ext>
          </c:extLst>
        </c:ser>
        <c:ser>
          <c:idx val="1"/>
          <c:order val="1"/>
          <c:tx>
            <c:strRef>
              <c:f>'Pivot Tables'!$C$4:$C$5</c:f>
              <c:strCache>
                <c:ptCount val="1"/>
                <c:pt idx="0">
                  <c:v>Yes</c:v>
                </c:pt>
              </c:strCache>
            </c:strRef>
          </c:tx>
          <c:spPr>
            <a:solidFill>
              <a:schemeClr val="accent2"/>
            </a:solidFill>
            <a:ln>
              <a:noFill/>
            </a:ln>
            <a:effectLst/>
          </c:spPr>
          <c:invertIfNegative val="0"/>
          <c:cat>
            <c:strRef>
              <c:f>'Pivot Tables'!$A$6:$A$8</c:f>
              <c:strCache>
                <c:ptCount val="2"/>
                <c:pt idx="0">
                  <c:v>Female</c:v>
                </c:pt>
                <c:pt idx="1">
                  <c:v>Male</c:v>
                </c:pt>
              </c:strCache>
            </c:strRef>
          </c:cat>
          <c:val>
            <c:numRef>
              <c:f>'Pivot Tables'!$C$6:$C$8</c:f>
              <c:numCache>
                <c:formatCode>_(* #,##0_);_(* \(#,##0\);_(* "-"??_);_(@_)</c:formatCode>
                <c:ptCount val="2"/>
                <c:pt idx="0">
                  <c:v>33333.333333333336</c:v>
                </c:pt>
                <c:pt idx="1">
                  <c:v>25000</c:v>
                </c:pt>
              </c:numCache>
            </c:numRef>
          </c:val>
          <c:extLst>
            <c:ext xmlns:c16="http://schemas.microsoft.com/office/drawing/2014/chart" uri="{C3380CC4-5D6E-409C-BE32-E72D297353CC}">
              <c16:uniqueId val="{00000001-2A89-4631-9FCB-ED09A5C30029}"/>
            </c:ext>
          </c:extLst>
        </c:ser>
        <c:dLbls>
          <c:showLegendKey val="0"/>
          <c:showVal val="0"/>
          <c:showCatName val="0"/>
          <c:showSerName val="0"/>
          <c:showPercent val="0"/>
          <c:showBubbleSize val="0"/>
        </c:dLbls>
        <c:gapWidth val="150"/>
        <c:axId val="292531103"/>
        <c:axId val="292529439"/>
      </c:barChart>
      <c:catAx>
        <c:axId val="292531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529439"/>
        <c:crosses val="autoZero"/>
        <c:auto val="1"/>
        <c:lblAlgn val="ctr"/>
        <c:lblOffset val="100"/>
        <c:noMultiLvlLbl val="0"/>
      </c:catAx>
      <c:valAx>
        <c:axId val="292529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Customer's</a:t>
                </a:r>
                <a:r>
                  <a:rPr lang="en-US" baseline="0"/>
                  <a:t> Income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531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Project.xlsx]Pivot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purchases Vs Work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Tables'!$A$20:$A$23</c:f>
              <c:strCache>
                <c:ptCount val="3"/>
                <c:pt idx="0">
                  <c:v>0-1 Miles</c:v>
                </c:pt>
                <c:pt idx="1">
                  <c:v>1-2 Miles</c:v>
                </c:pt>
                <c:pt idx="2">
                  <c:v>5-10 Miles</c:v>
                </c:pt>
              </c:strCache>
            </c:strRef>
          </c:cat>
          <c:val>
            <c:numRef>
              <c:f>'Pivot Tables'!$B$20:$B$23</c:f>
              <c:numCache>
                <c:formatCode>General</c:formatCode>
                <c:ptCount val="3"/>
                <c:pt idx="2">
                  <c:v>3</c:v>
                </c:pt>
              </c:numCache>
            </c:numRef>
          </c:val>
          <c:smooth val="0"/>
          <c:extLst>
            <c:ext xmlns:c16="http://schemas.microsoft.com/office/drawing/2014/chart" uri="{C3380CC4-5D6E-409C-BE32-E72D297353CC}">
              <c16:uniqueId val="{00000000-1681-4CC6-83D7-630086601779}"/>
            </c:ext>
          </c:extLst>
        </c:ser>
        <c:ser>
          <c:idx val="1"/>
          <c:order val="1"/>
          <c:tx>
            <c:strRef>
              <c:f>'Pivot Tables'!$C$18:$C$19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Tables'!$A$20:$A$23</c:f>
              <c:strCache>
                <c:ptCount val="3"/>
                <c:pt idx="0">
                  <c:v>0-1 Miles</c:v>
                </c:pt>
                <c:pt idx="1">
                  <c:v>1-2 Miles</c:v>
                </c:pt>
                <c:pt idx="2">
                  <c:v>5-10 Miles</c:v>
                </c:pt>
              </c:strCache>
            </c:strRef>
          </c:cat>
          <c:val>
            <c:numRef>
              <c:f>'Pivot Tables'!$C$20:$C$23</c:f>
              <c:numCache>
                <c:formatCode>General</c:formatCode>
                <c:ptCount val="3"/>
                <c:pt idx="0">
                  <c:v>2</c:v>
                </c:pt>
                <c:pt idx="1">
                  <c:v>1</c:v>
                </c:pt>
                <c:pt idx="2">
                  <c:v>2</c:v>
                </c:pt>
              </c:numCache>
            </c:numRef>
          </c:val>
          <c:smooth val="0"/>
          <c:extLst>
            <c:ext xmlns:c16="http://schemas.microsoft.com/office/drawing/2014/chart" uri="{C3380CC4-5D6E-409C-BE32-E72D297353CC}">
              <c16:uniqueId val="{00000021-1681-4CC6-83D7-630086601779}"/>
            </c:ext>
          </c:extLst>
        </c:ser>
        <c:dLbls>
          <c:showLegendKey val="0"/>
          <c:showVal val="0"/>
          <c:showCatName val="0"/>
          <c:showSerName val="0"/>
          <c:showPercent val="0"/>
          <c:showBubbleSize val="0"/>
        </c:dLbls>
        <c:marker val="1"/>
        <c:smooth val="0"/>
        <c:axId val="341519311"/>
        <c:axId val="341519727"/>
      </c:lineChart>
      <c:catAx>
        <c:axId val="3415193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19727"/>
        <c:crosses val="autoZero"/>
        <c:auto val="1"/>
        <c:lblAlgn val="ctr"/>
        <c:lblOffset val="100"/>
        <c:noMultiLvlLbl val="0"/>
      </c:catAx>
      <c:valAx>
        <c:axId val="34151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1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Project.xlsx]Pivot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Purchase per Age bracket</a:t>
            </a:r>
            <a:endParaRPr lang="en-US"/>
          </a:p>
        </c:rich>
      </c:tx>
      <c:layout>
        <c:manualLayout>
          <c:xMode val="edge"/>
          <c:yMode val="edge"/>
          <c:x val="0.2543437204910292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025339608752873E-2"/>
          <c:y val="0.25865522018081066"/>
          <c:w val="0.727952941788792"/>
          <c:h val="0.43957239720034996"/>
        </c:manualLayout>
      </c:layout>
      <c:lineChart>
        <c:grouping val="standard"/>
        <c:varyColors val="0"/>
        <c:ser>
          <c:idx val="0"/>
          <c:order val="0"/>
          <c:tx>
            <c:strRef>
              <c:f>'Pivot Tables'!$B$37:$B$38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Tables'!$A$39:$A$41</c:f>
              <c:strCache>
                <c:ptCount val="2"/>
                <c:pt idx="0">
                  <c:v>Adolescent</c:v>
                </c:pt>
                <c:pt idx="1">
                  <c:v>Old</c:v>
                </c:pt>
              </c:strCache>
            </c:strRef>
          </c:cat>
          <c:val>
            <c:numRef>
              <c:f>'Pivot Tables'!$B$39:$B$41</c:f>
              <c:numCache>
                <c:formatCode>General</c:formatCode>
                <c:ptCount val="2"/>
                <c:pt idx="1">
                  <c:v>3</c:v>
                </c:pt>
              </c:numCache>
            </c:numRef>
          </c:val>
          <c:smooth val="0"/>
          <c:extLst>
            <c:ext xmlns:c16="http://schemas.microsoft.com/office/drawing/2014/chart" uri="{C3380CC4-5D6E-409C-BE32-E72D297353CC}">
              <c16:uniqueId val="{00000000-03C0-41BB-83E8-AE593BC4025C}"/>
            </c:ext>
          </c:extLst>
        </c:ser>
        <c:ser>
          <c:idx val="1"/>
          <c:order val="1"/>
          <c:tx>
            <c:strRef>
              <c:f>'Pivot Tables'!$C$37:$C$38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Tables'!$A$39:$A$41</c:f>
              <c:strCache>
                <c:ptCount val="2"/>
                <c:pt idx="0">
                  <c:v>Adolescent</c:v>
                </c:pt>
                <c:pt idx="1">
                  <c:v>Old</c:v>
                </c:pt>
              </c:strCache>
            </c:strRef>
          </c:cat>
          <c:val>
            <c:numRef>
              <c:f>'Pivot Tables'!$C$39:$C$41</c:f>
              <c:numCache>
                <c:formatCode>General</c:formatCode>
                <c:ptCount val="2"/>
                <c:pt idx="0">
                  <c:v>2</c:v>
                </c:pt>
                <c:pt idx="1">
                  <c:v>3</c:v>
                </c:pt>
              </c:numCache>
            </c:numRef>
          </c:val>
          <c:smooth val="0"/>
          <c:extLst>
            <c:ext xmlns:c16="http://schemas.microsoft.com/office/drawing/2014/chart" uri="{C3380CC4-5D6E-409C-BE32-E72D297353CC}">
              <c16:uniqueId val="{00000011-03C0-41BB-83E8-AE593BC4025C}"/>
            </c:ext>
          </c:extLst>
        </c:ser>
        <c:dLbls>
          <c:showLegendKey val="0"/>
          <c:showVal val="0"/>
          <c:showCatName val="0"/>
          <c:showSerName val="0"/>
          <c:showPercent val="0"/>
          <c:showBubbleSize val="0"/>
        </c:dLbls>
        <c:marker val="1"/>
        <c:smooth val="0"/>
        <c:axId val="292531935"/>
        <c:axId val="292529855"/>
      </c:lineChart>
      <c:catAx>
        <c:axId val="292531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529855"/>
        <c:crosses val="autoZero"/>
        <c:auto val="1"/>
        <c:lblAlgn val="ctr"/>
        <c:lblOffset val="100"/>
        <c:noMultiLvlLbl val="0"/>
      </c:catAx>
      <c:valAx>
        <c:axId val="292529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53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Project.xlsx]Pivot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Tables'!$B$4:$B$5</c:f>
              <c:strCache>
                <c:ptCount val="1"/>
                <c:pt idx="0">
                  <c:v>No</c:v>
                </c:pt>
              </c:strCache>
            </c:strRef>
          </c:tx>
          <c:spPr>
            <a:solidFill>
              <a:schemeClr val="accent1"/>
            </a:solidFill>
            <a:ln>
              <a:noFill/>
            </a:ln>
            <a:effectLst/>
          </c:spPr>
          <c:invertIfNegative val="0"/>
          <c:cat>
            <c:strRef>
              <c:f>'Pivot Tables'!$A$6:$A$8</c:f>
              <c:strCache>
                <c:ptCount val="2"/>
                <c:pt idx="0">
                  <c:v>Female</c:v>
                </c:pt>
                <c:pt idx="1">
                  <c:v>Male</c:v>
                </c:pt>
              </c:strCache>
            </c:strRef>
          </c:cat>
          <c:val>
            <c:numRef>
              <c:f>'Pivot Tables'!$B$6:$B$8</c:f>
              <c:numCache>
                <c:formatCode>_(* #,##0_);_(* \(#,##0\);_(* "-"??_);_(@_)</c:formatCode>
                <c:ptCount val="2"/>
                <c:pt idx="0">
                  <c:v>30000</c:v>
                </c:pt>
                <c:pt idx="1">
                  <c:v>30000</c:v>
                </c:pt>
              </c:numCache>
            </c:numRef>
          </c:val>
          <c:extLst>
            <c:ext xmlns:c16="http://schemas.microsoft.com/office/drawing/2014/chart" uri="{C3380CC4-5D6E-409C-BE32-E72D297353CC}">
              <c16:uniqueId val="{00000000-5B81-4B05-ABBA-D6D80E6544DF}"/>
            </c:ext>
          </c:extLst>
        </c:ser>
        <c:ser>
          <c:idx val="1"/>
          <c:order val="1"/>
          <c:tx>
            <c:strRef>
              <c:f>'Pivot Tables'!$C$4:$C$5</c:f>
              <c:strCache>
                <c:ptCount val="1"/>
                <c:pt idx="0">
                  <c:v>Yes</c:v>
                </c:pt>
              </c:strCache>
            </c:strRef>
          </c:tx>
          <c:spPr>
            <a:solidFill>
              <a:schemeClr val="accent2"/>
            </a:solidFill>
            <a:ln>
              <a:noFill/>
            </a:ln>
            <a:effectLst/>
          </c:spPr>
          <c:invertIfNegative val="0"/>
          <c:cat>
            <c:strRef>
              <c:f>'Pivot Tables'!$A$6:$A$8</c:f>
              <c:strCache>
                <c:ptCount val="2"/>
                <c:pt idx="0">
                  <c:v>Female</c:v>
                </c:pt>
                <c:pt idx="1">
                  <c:v>Male</c:v>
                </c:pt>
              </c:strCache>
            </c:strRef>
          </c:cat>
          <c:val>
            <c:numRef>
              <c:f>'Pivot Tables'!$C$6:$C$8</c:f>
              <c:numCache>
                <c:formatCode>_(* #,##0_);_(* \(#,##0\);_(* "-"??_);_(@_)</c:formatCode>
                <c:ptCount val="2"/>
                <c:pt idx="0">
                  <c:v>33333.333333333336</c:v>
                </c:pt>
                <c:pt idx="1">
                  <c:v>25000</c:v>
                </c:pt>
              </c:numCache>
            </c:numRef>
          </c:val>
          <c:extLst>
            <c:ext xmlns:c16="http://schemas.microsoft.com/office/drawing/2014/chart" uri="{C3380CC4-5D6E-409C-BE32-E72D297353CC}">
              <c16:uniqueId val="{00000001-4D87-4373-889A-5FFD989C9FC5}"/>
            </c:ext>
          </c:extLst>
        </c:ser>
        <c:dLbls>
          <c:showLegendKey val="0"/>
          <c:showVal val="0"/>
          <c:showCatName val="0"/>
          <c:showSerName val="0"/>
          <c:showPercent val="0"/>
          <c:showBubbleSize val="0"/>
        </c:dLbls>
        <c:gapWidth val="150"/>
        <c:axId val="292531103"/>
        <c:axId val="292529439"/>
      </c:barChart>
      <c:catAx>
        <c:axId val="292531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529439"/>
        <c:crosses val="autoZero"/>
        <c:auto val="1"/>
        <c:lblAlgn val="ctr"/>
        <c:lblOffset val="100"/>
        <c:noMultiLvlLbl val="0"/>
      </c:catAx>
      <c:valAx>
        <c:axId val="292529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Customer's</a:t>
                </a:r>
                <a:r>
                  <a:rPr lang="en-US" baseline="0"/>
                  <a:t> Income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531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Project.xlsx]Pivot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purchases Vs Work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Tables'!$A$20:$A$23</c:f>
              <c:strCache>
                <c:ptCount val="3"/>
                <c:pt idx="0">
                  <c:v>0-1 Miles</c:v>
                </c:pt>
                <c:pt idx="1">
                  <c:v>1-2 Miles</c:v>
                </c:pt>
                <c:pt idx="2">
                  <c:v>5-10 Miles</c:v>
                </c:pt>
              </c:strCache>
            </c:strRef>
          </c:cat>
          <c:val>
            <c:numRef>
              <c:f>'Pivot Tables'!$B$20:$B$23</c:f>
              <c:numCache>
                <c:formatCode>General</c:formatCode>
                <c:ptCount val="3"/>
                <c:pt idx="2">
                  <c:v>3</c:v>
                </c:pt>
              </c:numCache>
            </c:numRef>
          </c:val>
          <c:smooth val="0"/>
          <c:extLst>
            <c:ext xmlns:c16="http://schemas.microsoft.com/office/drawing/2014/chart" uri="{C3380CC4-5D6E-409C-BE32-E72D297353CC}">
              <c16:uniqueId val="{00000000-FE8D-48D7-803B-6F947872EB82}"/>
            </c:ext>
          </c:extLst>
        </c:ser>
        <c:ser>
          <c:idx val="1"/>
          <c:order val="1"/>
          <c:tx>
            <c:strRef>
              <c:f>'Pivot Tables'!$C$18:$C$19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Tables'!$A$20:$A$23</c:f>
              <c:strCache>
                <c:ptCount val="3"/>
                <c:pt idx="0">
                  <c:v>0-1 Miles</c:v>
                </c:pt>
                <c:pt idx="1">
                  <c:v>1-2 Miles</c:v>
                </c:pt>
                <c:pt idx="2">
                  <c:v>5-10 Miles</c:v>
                </c:pt>
              </c:strCache>
            </c:strRef>
          </c:cat>
          <c:val>
            <c:numRef>
              <c:f>'Pivot Tables'!$C$20:$C$23</c:f>
              <c:numCache>
                <c:formatCode>General</c:formatCode>
                <c:ptCount val="3"/>
                <c:pt idx="0">
                  <c:v>2</c:v>
                </c:pt>
                <c:pt idx="1">
                  <c:v>1</c:v>
                </c:pt>
                <c:pt idx="2">
                  <c:v>2</c:v>
                </c:pt>
              </c:numCache>
            </c:numRef>
          </c:val>
          <c:smooth val="0"/>
          <c:extLst>
            <c:ext xmlns:c16="http://schemas.microsoft.com/office/drawing/2014/chart" uri="{C3380CC4-5D6E-409C-BE32-E72D297353CC}">
              <c16:uniqueId val="{00000001-FE8D-48D7-803B-6F947872EB82}"/>
            </c:ext>
          </c:extLst>
        </c:ser>
        <c:dLbls>
          <c:showLegendKey val="0"/>
          <c:showVal val="0"/>
          <c:showCatName val="0"/>
          <c:showSerName val="0"/>
          <c:showPercent val="0"/>
          <c:showBubbleSize val="0"/>
        </c:dLbls>
        <c:marker val="1"/>
        <c:smooth val="0"/>
        <c:axId val="341519311"/>
        <c:axId val="341519727"/>
      </c:lineChart>
      <c:catAx>
        <c:axId val="3415193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19727"/>
        <c:crosses val="autoZero"/>
        <c:auto val="1"/>
        <c:lblAlgn val="ctr"/>
        <c:lblOffset val="100"/>
        <c:noMultiLvlLbl val="0"/>
      </c:catAx>
      <c:valAx>
        <c:axId val="34151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1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Project.xlsx]Pivot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Purchase per Age bracket</a:t>
            </a:r>
            <a:endParaRPr lang="en-US"/>
          </a:p>
        </c:rich>
      </c:tx>
      <c:layout>
        <c:manualLayout>
          <c:xMode val="edge"/>
          <c:yMode val="edge"/>
          <c:x val="0.2543437204910292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Tables'!$A$39:$A$41</c:f>
              <c:strCache>
                <c:ptCount val="2"/>
                <c:pt idx="0">
                  <c:v>Adolescent</c:v>
                </c:pt>
                <c:pt idx="1">
                  <c:v>Old</c:v>
                </c:pt>
              </c:strCache>
            </c:strRef>
          </c:cat>
          <c:val>
            <c:numRef>
              <c:f>'Pivot Tables'!$B$39:$B$41</c:f>
              <c:numCache>
                <c:formatCode>General</c:formatCode>
                <c:ptCount val="2"/>
                <c:pt idx="1">
                  <c:v>3</c:v>
                </c:pt>
              </c:numCache>
            </c:numRef>
          </c:val>
          <c:smooth val="0"/>
          <c:extLst>
            <c:ext xmlns:c16="http://schemas.microsoft.com/office/drawing/2014/chart" uri="{C3380CC4-5D6E-409C-BE32-E72D297353CC}">
              <c16:uniqueId val="{00000000-181C-40D2-A6B6-93D24185EB85}"/>
            </c:ext>
          </c:extLst>
        </c:ser>
        <c:ser>
          <c:idx val="1"/>
          <c:order val="1"/>
          <c:tx>
            <c:strRef>
              <c:f>'Pivot Tables'!$C$37:$C$38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Tables'!$A$39:$A$41</c:f>
              <c:strCache>
                <c:ptCount val="2"/>
                <c:pt idx="0">
                  <c:v>Adolescent</c:v>
                </c:pt>
                <c:pt idx="1">
                  <c:v>Old</c:v>
                </c:pt>
              </c:strCache>
            </c:strRef>
          </c:cat>
          <c:val>
            <c:numRef>
              <c:f>'Pivot Tables'!$C$39:$C$41</c:f>
              <c:numCache>
                <c:formatCode>General</c:formatCode>
                <c:ptCount val="2"/>
                <c:pt idx="0">
                  <c:v>2</c:v>
                </c:pt>
                <c:pt idx="1">
                  <c:v>3</c:v>
                </c:pt>
              </c:numCache>
            </c:numRef>
          </c:val>
          <c:smooth val="0"/>
          <c:extLst>
            <c:ext xmlns:c16="http://schemas.microsoft.com/office/drawing/2014/chart" uri="{C3380CC4-5D6E-409C-BE32-E72D297353CC}">
              <c16:uniqueId val="{00000001-181C-40D2-A6B6-93D24185EB85}"/>
            </c:ext>
          </c:extLst>
        </c:ser>
        <c:dLbls>
          <c:showLegendKey val="0"/>
          <c:showVal val="0"/>
          <c:showCatName val="0"/>
          <c:showSerName val="0"/>
          <c:showPercent val="0"/>
          <c:showBubbleSize val="0"/>
        </c:dLbls>
        <c:marker val="1"/>
        <c:smooth val="0"/>
        <c:axId val="292531935"/>
        <c:axId val="292529855"/>
      </c:lineChart>
      <c:catAx>
        <c:axId val="292531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529855"/>
        <c:crosses val="autoZero"/>
        <c:auto val="1"/>
        <c:lblAlgn val="ctr"/>
        <c:lblOffset val="100"/>
        <c:noMultiLvlLbl val="0"/>
      </c:catAx>
      <c:valAx>
        <c:axId val="292529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53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632460</xdr:colOff>
      <xdr:row>1</xdr:row>
      <xdr:rowOff>64770</xdr:rowOff>
    </xdr:from>
    <xdr:to>
      <xdr:col>12</xdr:col>
      <xdr:colOff>45720</xdr:colOff>
      <xdr:row>15</xdr:row>
      <xdr:rowOff>15240</xdr:rowOff>
    </xdr:to>
    <xdr:graphicFrame macro="">
      <xdr:nvGraphicFramePr>
        <xdr:cNvPr id="3" name="Chart 2">
          <a:extLst>
            <a:ext uri="{FF2B5EF4-FFF2-40B4-BE49-F238E27FC236}">
              <a16:creationId xmlns:a16="http://schemas.microsoft.com/office/drawing/2014/main" id="{47A1AF7C-CA13-41AA-BB94-E268F19C9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16</xdr:row>
      <xdr:rowOff>95250</xdr:rowOff>
    </xdr:from>
    <xdr:to>
      <xdr:col>12</xdr:col>
      <xdr:colOff>114300</xdr:colOff>
      <xdr:row>31</xdr:row>
      <xdr:rowOff>95250</xdr:rowOff>
    </xdr:to>
    <xdr:graphicFrame macro="">
      <xdr:nvGraphicFramePr>
        <xdr:cNvPr id="4" name="Chart 3">
          <a:extLst>
            <a:ext uri="{FF2B5EF4-FFF2-40B4-BE49-F238E27FC236}">
              <a16:creationId xmlns:a16="http://schemas.microsoft.com/office/drawing/2014/main" id="{27ADEA62-B5CD-4EE9-897C-95F2AA734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472440</xdr:colOff>
      <xdr:row>35</xdr:row>
      <xdr:rowOff>148590</xdr:rowOff>
    </xdr:from>
    <xdr:to>
      <xdr:col>12</xdr:col>
      <xdr:colOff>167640</xdr:colOff>
      <xdr:row>50</xdr:row>
      <xdr:rowOff>148590</xdr:rowOff>
    </xdr:to>
    <xdr:graphicFrame macro="">
      <xdr:nvGraphicFramePr>
        <xdr:cNvPr id="5" name="Chart 4">
          <a:extLst>
            <a:ext uri="{FF2B5EF4-FFF2-40B4-BE49-F238E27FC236}">
              <a16:creationId xmlns:a16="http://schemas.microsoft.com/office/drawing/2014/main" id="{6AACFF8B-D635-4FC4-9417-A79FAA57E4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3</xdr:row>
      <xdr:rowOff>7620</xdr:rowOff>
    </xdr:from>
    <xdr:to>
      <xdr:col>8</xdr:col>
      <xdr:colOff>434340</xdr:colOff>
      <xdr:row>17</xdr:row>
      <xdr:rowOff>15240</xdr:rowOff>
    </xdr:to>
    <xdr:graphicFrame macro="">
      <xdr:nvGraphicFramePr>
        <xdr:cNvPr id="2" name="Chart 1">
          <a:extLst>
            <a:ext uri="{FF2B5EF4-FFF2-40B4-BE49-F238E27FC236}">
              <a16:creationId xmlns:a16="http://schemas.microsoft.com/office/drawing/2014/main" id="{B32F68C4-B594-45AD-96E5-CBD421AFB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17</xdr:row>
      <xdr:rowOff>15240</xdr:rowOff>
    </xdr:from>
    <xdr:to>
      <xdr:col>14</xdr:col>
      <xdr:colOff>441960</xdr:colOff>
      <xdr:row>29</xdr:row>
      <xdr:rowOff>45720</xdr:rowOff>
    </xdr:to>
    <xdr:graphicFrame macro="">
      <xdr:nvGraphicFramePr>
        <xdr:cNvPr id="3" name="Chart 2">
          <a:extLst>
            <a:ext uri="{FF2B5EF4-FFF2-40B4-BE49-F238E27FC236}">
              <a16:creationId xmlns:a16="http://schemas.microsoft.com/office/drawing/2014/main" id="{4C2A1758-49C2-474F-8E50-E84B88115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434340</xdr:colOff>
      <xdr:row>3</xdr:row>
      <xdr:rowOff>7620</xdr:rowOff>
    </xdr:from>
    <xdr:to>
      <xdr:col>15</xdr:col>
      <xdr:colOff>7620</xdr:colOff>
      <xdr:row>17</xdr:row>
      <xdr:rowOff>30480</xdr:rowOff>
    </xdr:to>
    <xdr:graphicFrame macro="">
      <xdr:nvGraphicFramePr>
        <xdr:cNvPr id="4" name="Chart 3">
          <a:extLst>
            <a:ext uri="{FF2B5EF4-FFF2-40B4-BE49-F238E27FC236}">
              <a16:creationId xmlns:a16="http://schemas.microsoft.com/office/drawing/2014/main" id="{6375F06B-B961-4EA2-B79C-D2AE07969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xdr:colOff>
      <xdr:row>3</xdr:row>
      <xdr:rowOff>7621</xdr:rowOff>
    </xdr:from>
    <xdr:to>
      <xdr:col>3</xdr:col>
      <xdr:colOff>15240</xdr:colOff>
      <xdr:row>9</xdr:row>
      <xdr:rowOff>38100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3B4D5281-E0BD-4FEA-8FBE-786F694B3B5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7620" y="701041"/>
              <a:ext cx="1272540" cy="1036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30481</xdr:rowOff>
    </xdr:from>
    <xdr:to>
      <xdr:col>3</xdr:col>
      <xdr:colOff>7620</xdr:colOff>
      <xdr:row>16</xdr:row>
      <xdr:rowOff>22860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34B2DECE-5A6B-4670-A64D-BC8CBE314B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821181"/>
              <a:ext cx="1257300" cy="1272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22861</xdr:rowOff>
    </xdr:from>
    <xdr:to>
      <xdr:col>3</xdr:col>
      <xdr:colOff>7620</xdr:colOff>
      <xdr:row>25</xdr:row>
      <xdr:rowOff>106680</xdr:rowOff>
    </xdr:to>
    <mc:AlternateContent xmlns:mc="http://schemas.openxmlformats.org/markup-compatibility/2006" xmlns:a14="http://schemas.microsoft.com/office/drawing/2010/main">
      <mc:Choice Requires="a14">
        <xdr:graphicFrame macro="">
          <xdr:nvGraphicFramePr>
            <xdr:cNvPr id="7" name="Occupation">
              <a:extLst>
                <a:ext uri="{FF2B5EF4-FFF2-40B4-BE49-F238E27FC236}">
                  <a16:creationId xmlns:a16="http://schemas.microsoft.com/office/drawing/2014/main" id="{056CF45A-B671-4E33-93B0-A00B4A91BC25}"/>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3093721"/>
              <a:ext cx="1257300" cy="1729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114300</xdr:rowOff>
    </xdr:from>
    <xdr:to>
      <xdr:col>3</xdr:col>
      <xdr:colOff>15240</xdr:colOff>
      <xdr:row>29</xdr:row>
      <xdr:rowOff>83820</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2FF72BC7-40F0-4606-98BB-C5A0AF0229B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4831080"/>
              <a:ext cx="1264920" cy="701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0.802691435187" createdVersion="7" refreshedVersion="7" minRefreshableVersion="3" recordCount="1000" xr:uid="{0E1B613D-D37E-46D3-8BA5-227EA400155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795968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6C3606-7809-4155-B62E-6424A21655B1}"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7:D41"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x="1"/>
        <item h="1" x="3"/>
        <item t="default"/>
      </items>
    </pivotField>
    <pivotField showAll="0">
      <items count="6">
        <item x="1"/>
        <item h="1" x="4"/>
        <item h="1" x="3"/>
        <item h="1" x="2"/>
        <item h="1" x="0"/>
        <item t="default"/>
      </items>
    </pivotField>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i>
    <i>
      <x v="2"/>
    </i>
    <i t="grand">
      <x/>
    </i>
  </rowItems>
  <colFields count="1">
    <field x="13"/>
  </colFields>
  <colItems count="3">
    <i>
      <x/>
    </i>
    <i>
      <x v="1"/>
    </i>
    <i t="grand">
      <x/>
    </i>
  </colItems>
  <dataFields count="1">
    <dataField name="Count of Purchased Bike" fld="13" subtotal="count" baseField="0" baseItem="0"/>
  </dataFields>
  <formats count="1">
    <format dxfId="0">
      <pivotArea outline="0" collapsedLevelsAreSubtotals="1" fieldPosition="0"/>
    </format>
  </formats>
  <chartFormats count="7">
    <chartFormat chart="0" format="3" series="1">
      <pivotArea type="data" outline="0" fieldPosition="0">
        <references count="1">
          <reference field="4294967294" count="1" selected="0">
            <x v="0"/>
          </reference>
        </references>
      </pivotArea>
    </chartFormat>
    <chartFormat chart="0" format="18" series="1">
      <pivotArea type="data" outline="0" fieldPosition="0">
        <references count="2">
          <reference field="4294967294" count="1" selected="0">
            <x v="0"/>
          </reference>
          <reference field="13" count="1" selected="0">
            <x v="1"/>
          </reference>
        </references>
      </pivotArea>
    </chartFormat>
    <chartFormat chart="1" format="19" series="1">
      <pivotArea type="data" outline="0" fieldPosition="0">
        <references count="2">
          <reference field="4294967294" count="1" selected="0">
            <x v="0"/>
          </reference>
          <reference field="13" count="1" selected="0">
            <x v="0"/>
          </reference>
        </references>
      </pivotArea>
    </chartFormat>
    <chartFormat chart="1" format="20" series="1">
      <pivotArea type="data" outline="0" fieldPosition="0">
        <references count="2">
          <reference field="4294967294" count="1" selected="0">
            <x v="0"/>
          </reference>
          <reference field="13" count="1" selected="0">
            <x v="1"/>
          </reference>
        </references>
      </pivotArea>
    </chartFormat>
    <chartFormat chart="2" format="21" series="1">
      <pivotArea type="data" outline="0" fieldPosition="0">
        <references count="2">
          <reference field="4294967294" count="1" selected="0">
            <x v="0"/>
          </reference>
          <reference field="13" count="1" selected="0">
            <x v="0"/>
          </reference>
        </references>
      </pivotArea>
    </chartFormat>
    <chartFormat chart="2" format="22" series="1">
      <pivotArea type="data" outline="0" fieldPosition="0">
        <references count="2">
          <reference field="4294967294" count="1" selected="0">
            <x v="0"/>
          </reference>
          <reference field="13" count="1" selected="0">
            <x v="1"/>
          </reference>
        </references>
      </pivotArea>
    </chartFormat>
    <chartFormat chart="0" format="19"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A40713-00A2-4F58-BD94-5BF654E0B97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8:D23"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x="1"/>
        <item h="1" x="3"/>
        <item t="default"/>
      </items>
    </pivotField>
    <pivotField showAll="0">
      <items count="6">
        <item x="1"/>
        <item h="1" x="4"/>
        <item h="1" x="3"/>
        <item h="1" x="2"/>
        <item h="1" x="0"/>
        <item t="default"/>
      </items>
    </pivotField>
    <pivotField showAll="0"/>
    <pivotField showAll="0"/>
    <pivotField axis="axisRow" showAll="0" sortType="ascending">
      <items count="6">
        <item x="0"/>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4">
    <i>
      <x/>
    </i>
    <i>
      <x v="1"/>
    </i>
    <i>
      <x v="3"/>
    </i>
    <i t="grand">
      <x/>
    </i>
  </rowItems>
  <colFields count="1">
    <field x="13"/>
  </colFields>
  <colItems count="3">
    <i>
      <x/>
    </i>
    <i>
      <x v="1"/>
    </i>
    <i t="grand">
      <x/>
    </i>
  </colItems>
  <dataFields count="1">
    <dataField name="Count of Purchased Bike" fld="13" subtotal="count" baseField="0" baseItem="0"/>
  </dataFields>
  <formats count="2">
    <format dxfId="2">
      <pivotArea outline="0" collapsedLevelsAreSubtotals="1" fieldPosition="0"/>
    </format>
    <format dxfId="1">
      <pivotArea dataOnly="0" labelOnly="1" grandCol="1" outline="0" fieldPosition="0"/>
    </format>
  </formats>
  <chartFormats count="5">
    <chartFormat chart="0" format="35" series="1">
      <pivotArea type="data" outline="0" fieldPosition="0">
        <references count="1">
          <reference field="4294967294" count="1" selected="0">
            <x v="0"/>
          </reference>
        </references>
      </pivotArea>
    </chartFormat>
    <chartFormat chart="0" format="36" series="1">
      <pivotArea type="data" outline="0" fieldPosition="0">
        <references count="2">
          <reference field="4294967294" count="1" selected="0">
            <x v="0"/>
          </reference>
          <reference field="13" count="1" selected="0">
            <x v="1"/>
          </reference>
        </references>
      </pivotArea>
    </chartFormat>
    <chartFormat chart="2" format="39" series="1">
      <pivotArea type="data" outline="0" fieldPosition="0">
        <references count="2">
          <reference field="4294967294" count="1" selected="0">
            <x v="0"/>
          </reference>
          <reference field="13" count="1" selected="0">
            <x v="0"/>
          </reference>
        </references>
      </pivotArea>
    </chartFormat>
    <chartFormat chart="2" format="40" series="1">
      <pivotArea type="data" outline="0" fieldPosition="0">
        <references count="2">
          <reference field="4294967294" count="1" selected="0">
            <x v="0"/>
          </reference>
          <reference field="13" count="1" selected="0">
            <x v="1"/>
          </reference>
        </references>
      </pivotArea>
    </chartFormat>
    <chartFormat chart="0" format="37"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0B9595-23F5-4217-BD03-8D47D104A85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D8"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x="0"/>
        <item h="1" x="4"/>
        <item h="1" x="2"/>
        <item x="1"/>
        <item h="1" x="3"/>
        <item t="default"/>
      </items>
    </pivotField>
    <pivotField showAll="0">
      <items count="6">
        <item x="1"/>
        <item h="1" x="4"/>
        <item h="1" x="3"/>
        <item h="1" x="2"/>
        <item h="1" x="0"/>
        <item t="default"/>
      </items>
    </pivotField>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5">
    <format dxfId="7">
      <pivotArea field="13" type="button" dataOnly="0" labelOnly="1" outline="0" axis="axisCol" fieldPosition="0"/>
    </format>
    <format dxfId="6">
      <pivotArea type="topRight" dataOnly="0" labelOnly="1" outline="0" fieldPosition="0"/>
    </format>
    <format dxfId="5">
      <pivotArea dataOnly="0" labelOnly="1" fieldPosition="0">
        <references count="1">
          <reference field="13" count="0"/>
        </references>
      </pivotArea>
    </format>
    <format dxfId="4">
      <pivotArea dataOnly="0" labelOnly="1" grandCol="1" outline="0" fieldPosition="0"/>
    </format>
    <format dxfId="3">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A28C3F2-B821-4A67-9B8C-69FBAE97ADFB}" sourceName="Marital Status">
  <pivotTables>
    <pivotTable tabId="3" name="PivotTable1"/>
    <pivotTable tabId="3" name="PivotTable3"/>
    <pivotTable tabId="3" name="PivotTable4"/>
  </pivotTables>
  <data>
    <tabular pivotCacheId="67959688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A7F848-E360-4B3C-B1DE-28270EED10C9}" sourceName="Region">
  <pivotTables>
    <pivotTable tabId="3" name="PivotTable1"/>
    <pivotTable tabId="3" name="PivotTable3"/>
    <pivotTable tabId="3" name="PivotTable4"/>
  </pivotTables>
  <data>
    <tabular pivotCacheId="679596885">
      <items count="3">
        <i x="0"/>
        <i x="2"/>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FC5BEBA8-6B86-4B61-947B-6A8E0AD35B9C}" sourceName="Occupation">
  <pivotTables>
    <pivotTable tabId="3" name="PivotTable1"/>
    <pivotTable tabId="3" name="PivotTable3"/>
    <pivotTable tabId="3" name="PivotTable4"/>
  </pivotTables>
  <data>
    <tabular pivotCacheId="679596885">
      <items count="5">
        <i x="1" s="1"/>
        <i x="4"/>
        <i x="3"/>
        <i x="2"/>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33EA7EE-C61E-46BF-B43C-FD431E1D40A6}" sourceName="Education">
  <pivotTables>
    <pivotTable tabId="3" name="PivotTable1"/>
    <pivotTable tabId="3" name="PivotTable3"/>
    <pivotTable tabId="3" name="PivotTable4"/>
  </pivotTables>
  <data>
    <tabular pivotCacheId="679596885">
      <items count="5">
        <i x="0" s="1"/>
        <i x="1" s="1"/>
        <i x="3"/>
        <i x="4"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55CF3FB-A019-4C66-83C8-F19AFC738252}" cache="Slicer_Marital_Status" caption="Marital Status" rowHeight="234950"/>
  <slicer name="Region" xr10:uid="{AEFED0E7-E451-4616-944B-0BC378AD01F8}" cache="Slicer_Region" caption="Region" rowHeight="234950"/>
  <slicer name="Occupation" xr10:uid="{DD64258E-2DCE-4991-99C6-166914523EA8}" cache="Slicer_Occupation" caption="Occupation" rowHeight="234950"/>
  <slicer name="Education" xr10:uid="{148D9EA5-94FD-4801-A607-9F5BE9E8A520}"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C16" sqref="C1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46465-B169-44A6-8A24-74E47CE335BA}">
  <dimension ref="A1:N1001"/>
  <sheetViews>
    <sheetView workbookViewId="0">
      <selection activeCell="D29" sqref="D29"/>
    </sheetView>
  </sheetViews>
  <sheetFormatPr defaultColWidth="6.109375" defaultRowHeight="14.4" x14ac:dyDescent="0.3"/>
  <cols>
    <col min="1" max="1" width="6" bestFit="1" customWidth="1"/>
    <col min="2" max="2" width="14.5546875" bestFit="1" customWidth="1"/>
    <col min="3" max="3" width="9.109375" bestFit="1" customWidth="1"/>
    <col min="4" max="4" width="11"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2.88671875" bestFit="1" customWidth="1"/>
    <col min="14" max="14" width="15.5546875" bestFit="1" customWidth="1"/>
  </cols>
  <sheetData>
    <row r="1" spans="1:14" x14ac:dyDescent="0.3">
      <c r="A1" t="s">
        <v>0</v>
      </c>
      <c r="B1" t="s">
        <v>1</v>
      </c>
      <c r="C1" t="s">
        <v>2</v>
      </c>
      <c r="D1" t="s">
        <v>3</v>
      </c>
      <c r="E1" t="s">
        <v>4</v>
      </c>
      <c r="F1" t="s">
        <v>5</v>
      </c>
      <c r="G1" t="s">
        <v>6</v>
      </c>
      <c r="H1" t="s">
        <v>7</v>
      </c>
      <c r="I1" t="s">
        <v>8</v>
      </c>
      <c r="J1" t="s">
        <v>9</v>
      </c>
      <c r="K1" t="s">
        <v>10</v>
      </c>
      <c r="L1" t="s">
        <v>11</v>
      </c>
      <c r="M1" t="s">
        <v>41</v>
      </c>
      <c r="N1" t="s">
        <v>12</v>
      </c>
    </row>
    <row r="2" spans="1:14" x14ac:dyDescent="0.3">
      <c r="A2">
        <v>12496</v>
      </c>
      <c r="B2" t="s">
        <v>36</v>
      </c>
      <c r="C2" t="s">
        <v>38</v>
      </c>
      <c r="D2" s="1">
        <v>40000</v>
      </c>
      <c r="E2">
        <v>1</v>
      </c>
      <c r="F2" t="s">
        <v>13</v>
      </c>
      <c r="G2" t="s">
        <v>14</v>
      </c>
      <c r="H2" t="s">
        <v>15</v>
      </c>
      <c r="I2">
        <v>0</v>
      </c>
      <c r="J2" t="s">
        <v>16</v>
      </c>
      <c r="K2" t="s">
        <v>17</v>
      </c>
      <c r="L2">
        <v>42</v>
      </c>
      <c r="M2" t="str">
        <f>IF(L2&gt;54, "Old",IF(L2&gt;=31,"Middle Age",IF(L2&lt;31,"Adolescent","Invalid")))</f>
        <v>Middle Age</v>
      </c>
      <c r="N2" t="s">
        <v>18</v>
      </c>
    </row>
    <row r="3" spans="1:14" x14ac:dyDescent="0.3">
      <c r="A3">
        <v>24107</v>
      </c>
      <c r="B3" t="s">
        <v>36</v>
      </c>
      <c r="C3" t="s">
        <v>39</v>
      </c>
      <c r="D3" s="1">
        <v>30000</v>
      </c>
      <c r="E3">
        <v>3</v>
      </c>
      <c r="F3" t="s">
        <v>19</v>
      </c>
      <c r="G3" t="s">
        <v>20</v>
      </c>
      <c r="H3" t="s">
        <v>15</v>
      </c>
      <c r="I3">
        <v>1</v>
      </c>
      <c r="J3" t="s">
        <v>16</v>
      </c>
      <c r="K3" t="s">
        <v>17</v>
      </c>
      <c r="L3">
        <v>43</v>
      </c>
      <c r="M3" t="str">
        <f t="shared" ref="M3:M66" si="0">IF(L3&gt;54, "Old",IF(L3&gt;=31,"Middle Age",IF(L3&lt;31,"Adolescent","Invalid")))</f>
        <v>Middle Age</v>
      </c>
      <c r="N3" t="s">
        <v>18</v>
      </c>
    </row>
    <row r="4" spans="1:14" x14ac:dyDescent="0.3">
      <c r="A4">
        <v>14177</v>
      </c>
      <c r="B4" t="s">
        <v>36</v>
      </c>
      <c r="C4" t="s">
        <v>39</v>
      </c>
      <c r="D4" s="1">
        <v>80000</v>
      </c>
      <c r="E4">
        <v>5</v>
      </c>
      <c r="F4" t="s">
        <v>19</v>
      </c>
      <c r="G4" t="s">
        <v>21</v>
      </c>
      <c r="H4" t="s">
        <v>18</v>
      </c>
      <c r="I4">
        <v>2</v>
      </c>
      <c r="J4" t="s">
        <v>22</v>
      </c>
      <c r="K4" t="s">
        <v>17</v>
      </c>
      <c r="L4">
        <v>60</v>
      </c>
      <c r="M4" t="str">
        <f t="shared" si="0"/>
        <v>Old</v>
      </c>
      <c r="N4" t="s">
        <v>18</v>
      </c>
    </row>
    <row r="5" spans="1:14" x14ac:dyDescent="0.3">
      <c r="A5">
        <v>24381</v>
      </c>
      <c r="B5" t="s">
        <v>37</v>
      </c>
      <c r="C5" t="s">
        <v>39</v>
      </c>
      <c r="D5" s="1">
        <v>70000</v>
      </c>
      <c r="E5">
        <v>0</v>
      </c>
      <c r="F5" t="s">
        <v>13</v>
      </c>
      <c r="G5" t="s">
        <v>21</v>
      </c>
      <c r="H5" t="s">
        <v>15</v>
      </c>
      <c r="I5">
        <v>1</v>
      </c>
      <c r="J5" t="s">
        <v>23</v>
      </c>
      <c r="K5" t="s">
        <v>24</v>
      </c>
      <c r="L5">
        <v>41</v>
      </c>
      <c r="M5" t="str">
        <f t="shared" si="0"/>
        <v>Middle Age</v>
      </c>
      <c r="N5" t="s">
        <v>15</v>
      </c>
    </row>
    <row r="6" spans="1:14" x14ac:dyDescent="0.3">
      <c r="A6">
        <v>25597</v>
      </c>
      <c r="B6" t="s">
        <v>37</v>
      </c>
      <c r="C6" t="s">
        <v>39</v>
      </c>
      <c r="D6" s="1">
        <v>30000</v>
      </c>
      <c r="E6">
        <v>0</v>
      </c>
      <c r="F6" t="s">
        <v>13</v>
      </c>
      <c r="G6" t="s">
        <v>20</v>
      </c>
      <c r="H6" t="s">
        <v>18</v>
      </c>
      <c r="I6">
        <v>0</v>
      </c>
      <c r="J6" t="s">
        <v>16</v>
      </c>
      <c r="K6" t="s">
        <v>17</v>
      </c>
      <c r="L6">
        <v>36</v>
      </c>
      <c r="M6" t="str">
        <f t="shared" si="0"/>
        <v>Middle Age</v>
      </c>
      <c r="N6" t="s">
        <v>15</v>
      </c>
    </row>
    <row r="7" spans="1:14" x14ac:dyDescent="0.3">
      <c r="A7">
        <v>13507</v>
      </c>
      <c r="B7" t="s">
        <v>36</v>
      </c>
      <c r="C7" t="s">
        <v>38</v>
      </c>
      <c r="D7" s="1">
        <v>10000</v>
      </c>
      <c r="E7">
        <v>2</v>
      </c>
      <c r="F7" t="s">
        <v>19</v>
      </c>
      <c r="G7" t="s">
        <v>25</v>
      </c>
      <c r="H7" t="s">
        <v>15</v>
      </c>
      <c r="I7">
        <v>0</v>
      </c>
      <c r="J7" t="s">
        <v>26</v>
      </c>
      <c r="K7" t="s">
        <v>17</v>
      </c>
      <c r="L7">
        <v>50</v>
      </c>
      <c r="M7" t="str">
        <f t="shared" si="0"/>
        <v>Middle Age</v>
      </c>
      <c r="N7" t="s">
        <v>18</v>
      </c>
    </row>
    <row r="8" spans="1:14" x14ac:dyDescent="0.3">
      <c r="A8">
        <v>27974</v>
      </c>
      <c r="B8" t="s">
        <v>37</v>
      </c>
      <c r="C8" t="s">
        <v>39</v>
      </c>
      <c r="D8" s="1">
        <v>160000</v>
      </c>
      <c r="E8">
        <v>2</v>
      </c>
      <c r="F8" t="s">
        <v>27</v>
      </c>
      <c r="G8" t="s">
        <v>28</v>
      </c>
      <c r="H8" t="s">
        <v>15</v>
      </c>
      <c r="I8">
        <v>4</v>
      </c>
      <c r="J8" t="s">
        <v>16</v>
      </c>
      <c r="K8" t="s">
        <v>24</v>
      </c>
      <c r="L8">
        <v>33</v>
      </c>
      <c r="M8" t="str">
        <f t="shared" si="0"/>
        <v>Middle Age</v>
      </c>
      <c r="N8" t="s">
        <v>15</v>
      </c>
    </row>
    <row r="9" spans="1:14" x14ac:dyDescent="0.3">
      <c r="A9">
        <v>19364</v>
      </c>
      <c r="B9" t="s">
        <v>36</v>
      </c>
      <c r="C9" t="s">
        <v>39</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1">
        <v>90000</v>
      </c>
      <c r="E13">
        <v>0</v>
      </c>
      <c r="F13" t="s">
        <v>13</v>
      </c>
      <c r="G13" t="s">
        <v>21</v>
      </c>
      <c r="H13" t="s">
        <v>18</v>
      </c>
      <c r="I13">
        <v>4</v>
      </c>
      <c r="J13" t="s">
        <v>40</v>
      </c>
      <c r="K13" t="s">
        <v>24</v>
      </c>
      <c r="L13">
        <v>36</v>
      </c>
      <c r="M13" t="str">
        <f t="shared" si="0"/>
        <v>Middle Age</v>
      </c>
      <c r="N13" t="s">
        <v>18</v>
      </c>
    </row>
    <row r="14" spans="1:14" x14ac:dyDescent="0.3">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1">
        <v>80000</v>
      </c>
      <c r="E23">
        <v>0</v>
      </c>
      <c r="F23" t="s">
        <v>13</v>
      </c>
      <c r="G23" t="s">
        <v>21</v>
      </c>
      <c r="H23" t="s">
        <v>15</v>
      </c>
      <c r="I23">
        <v>4</v>
      </c>
      <c r="J23" t="s">
        <v>40</v>
      </c>
      <c r="K23" t="s">
        <v>24</v>
      </c>
      <c r="L23">
        <v>35</v>
      </c>
      <c r="M23" t="str">
        <f t="shared" si="0"/>
        <v>Middle Age</v>
      </c>
      <c r="N23" t="s">
        <v>18</v>
      </c>
    </row>
    <row r="24" spans="1:14" x14ac:dyDescent="0.3">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1">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1">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1">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1">
        <v>80000</v>
      </c>
      <c r="E53">
        <v>0</v>
      </c>
      <c r="F53" t="s">
        <v>13</v>
      </c>
      <c r="G53" t="s">
        <v>21</v>
      </c>
      <c r="H53" t="s">
        <v>18</v>
      </c>
      <c r="I53">
        <v>4</v>
      </c>
      <c r="J53" t="s">
        <v>40</v>
      </c>
      <c r="K53" t="s">
        <v>24</v>
      </c>
      <c r="L53">
        <v>35</v>
      </c>
      <c r="M53" t="str">
        <f t="shared" si="0"/>
        <v>Middle Age</v>
      </c>
      <c r="N53" t="s">
        <v>18</v>
      </c>
    </row>
    <row r="54" spans="1:14" x14ac:dyDescent="0.3">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1">
        <v>80000</v>
      </c>
      <c r="E57">
        <v>4</v>
      </c>
      <c r="F57" t="s">
        <v>27</v>
      </c>
      <c r="G57" t="s">
        <v>21</v>
      </c>
      <c r="H57" t="s">
        <v>15</v>
      </c>
      <c r="I57">
        <v>2</v>
      </c>
      <c r="J57" t="s">
        <v>40</v>
      </c>
      <c r="K57" t="s">
        <v>17</v>
      </c>
      <c r="L57">
        <v>54</v>
      </c>
      <c r="M57" t="str">
        <f t="shared" si="0"/>
        <v>Middle Age</v>
      </c>
      <c r="N57" t="s">
        <v>18</v>
      </c>
    </row>
    <row r="58" spans="1:14" x14ac:dyDescent="0.3">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1">
        <v>60000</v>
      </c>
      <c r="E65">
        <v>4</v>
      </c>
      <c r="F65" t="s">
        <v>13</v>
      </c>
      <c r="G65" t="s">
        <v>21</v>
      </c>
      <c r="H65" t="s">
        <v>15</v>
      </c>
      <c r="I65">
        <v>3</v>
      </c>
      <c r="J65" t="s">
        <v>40</v>
      </c>
      <c r="K65" t="s">
        <v>24</v>
      </c>
      <c r="L65">
        <v>41</v>
      </c>
      <c r="M65" t="str">
        <f t="shared" si="0"/>
        <v>Middle Age</v>
      </c>
      <c r="N65" t="s">
        <v>18</v>
      </c>
    </row>
    <row r="66" spans="1:14" x14ac:dyDescent="0.3">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1">
        <v>30000</v>
      </c>
      <c r="E67">
        <v>2</v>
      </c>
      <c r="F67" t="s">
        <v>19</v>
      </c>
      <c r="G67" t="s">
        <v>20</v>
      </c>
      <c r="H67" t="s">
        <v>15</v>
      </c>
      <c r="I67">
        <v>2</v>
      </c>
      <c r="J67" t="s">
        <v>23</v>
      </c>
      <c r="K67" t="s">
        <v>24</v>
      </c>
      <c r="L67">
        <v>68</v>
      </c>
      <c r="M67" t="str">
        <f t="shared" ref="M67:M130" si="1">IF(L67&gt;54, "Old",IF(L67&gt;=31,"Middle Age",IF(L67&lt;31,"Adolescent","Invalid")))</f>
        <v>Old</v>
      </c>
      <c r="N67" t="s">
        <v>18</v>
      </c>
    </row>
    <row r="68" spans="1:14" x14ac:dyDescent="0.3">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1">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1">
        <v>120000</v>
      </c>
      <c r="E72">
        <v>0</v>
      </c>
      <c r="F72" t="s">
        <v>29</v>
      </c>
      <c r="G72" t="s">
        <v>21</v>
      </c>
      <c r="H72" t="s">
        <v>15</v>
      </c>
      <c r="I72">
        <v>4</v>
      </c>
      <c r="J72" t="s">
        <v>40</v>
      </c>
      <c r="K72" t="s">
        <v>24</v>
      </c>
      <c r="L72">
        <v>36</v>
      </c>
      <c r="M72" t="str">
        <f t="shared" si="1"/>
        <v>Middle Age</v>
      </c>
      <c r="N72" t="s">
        <v>15</v>
      </c>
    </row>
    <row r="73" spans="1:14" x14ac:dyDescent="0.3">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1">
        <v>80000</v>
      </c>
      <c r="E79">
        <v>0</v>
      </c>
      <c r="F79" t="s">
        <v>13</v>
      </c>
      <c r="G79" t="s">
        <v>21</v>
      </c>
      <c r="H79" t="s">
        <v>15</v>
      </c>
      <c r="I79">
        <v>2</v>
      </c>
      <c r="J79" t="s">
        <v>40</v>
      </c>
      <c r="K79" t="s">
        <v>24</v>
      </c>
      <c r="L79">
        <v>29</v>
      </c>
      <c r="M79" t="str">
        <f t="shared" si="1"/>
        <v>Adolescent</v>
      </c>
      <c r="N79" t="s">
        <v>15</v>
      </c>
    </row>
    <row r="80" spans="1:14" x14ac:dyDescent="0.3">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1">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1">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1">
        <v>90000</v>
      </c>
      <c r="E97">
        <v>5</v>
      </c>
      <c r="F97" t="s">
        <v>19</v>
      </c>
      <c r="G97" t="s">
        <v>21</v>
      </c>
      <c r="H97" t="s">
        <v>15</v>
      </c>
      <c r="I97">
        <v>2</v>
      </c>
      <c r="J97" t="s">
        <v>40</v>
      </c>
      <c r="K97" t="s">
        <v>17</v>
      </c>
      <c r="L97">
        <v>62</v>
      </c>
      <c r="M97" t="str">
        <f t="shared" si="1"/>
        <v>Old</v>
      </c>
      <c r="N97" t="s">
        <v>18</v>
      </c>
    </row>
    <row r="98" spans="1:14" x14ac:dyDescent="0.3">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1">
        <v>80000</v>
      </c>
      <c r="E124">
        <v>0</v>
      </c>
      <c r="F124" t="s">
        <v>13</v>
      </c>
      <c r="G124" t="s">
        <v>21</v>
      </c>
      <c r="H124" t="s">
        <v>18</v>
      </c>
      <c r="I124">
        <v>3</v>
      </c>
      <c r="J124" t="s">
        <v>40</v>
      </c>
      <c r="K124" t="s">
        <v>24</v>
      </c>
      <c r="L124">
        <v>31</v>
      </c>
      <c r="M124" t="str">
        <f t="shared" si="1"/>
        <v>Middle Age</v>
      </c>
      <c r="N124" t="s">
        <v>18</v>
      </c>
    </row>
    <row r="125" spans="1:14" x14ac:dyDescent="0.3">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1">
        <v>10000</v>
      </c>
      <c r="E131">
        <v>3</v>
      </c>
      <c r="F131" t="s">
        <v>27</v>
      </c>
      <c r="G131" t="s">
        <v>25</v>
      </c>
      <c r="H131" t="s">
        <v>15</v>
      </c>
      <c r="I131">
        <v>1</v>
      </c>
      <c r="J131" t="s">
        <v>16</v>
      </c>
      <c r="K131" t="s">
        <v>17</v>
      </c>
      <c r="L131">
        <v>39</v>
      </c>
      <c r="M131" t="str">
        <f t="shared" ref="M131:M194" si="2">IF(L131&gt;54, "Old",IF(L131&gt;=31,"Middle Age",IF(L131&lt;31,"Adolescent","Invalid")))</f>
        <v>Middle Age</v>
      </c>
      <c r="N131" t="s">
        <v>15</v>
      </c>
    </row>
    <row r="132" spans="1:14" x14ac:dyDescent="0.3">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1">
        <v>80000</v>
      </c>
      <c r="E145">
        <v>0</v>
      </c>
      <c r="F145" t="s">
        <v>13</v>
      </c>
      <c r="G145" t="s">
        <v>21</v>
      </c>
      <c r="H145" t="s">
        <v>15</v>
      </c>
      <c r="I145">
        <v>3</v>
      </c>
      <c r="J145" t="s">
        <v>40</v>
      </c>
      <c r="K145" t="s">
        <v>24</v>
      </c>
      <c r="L145">
        <v>32</v>
      </c>
      <c r="M145" t="str">
        <f t="shared" si="2"/>
        <v>Middle Age</v>
      </c>
      <c r="N145" t="s">
        <v>18</v>
      </c>
    </row>
    <row r="146" spans="1:14" x14ac:dyDescent="0.3">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1">
        <v>100000</v>
      </c>
      <c r="E169">
        <v>0</v>
      </c>
      <c r="F169" t="s">
        <v>27</v>
      </c>
      <c r="G169" t="s">
        <v>28</v>
      </c>
      <c r="H169" t="s">
        <v>15</v>
      </c>
      <c r="I169">
        <v>3</v>
      </c>
      <c r="J169" t="s">
        <v>40</v>
      </c>
      <c r="K169" t="s">
        <v>24</v>
      </c>
      <c r="L169">
        <v>35</v>
      </c>
      <c r="M169" t="str">
        <f t="shared" si="2"/>
        <v>Middle Age</v>
      </c>
      <c r="N169" t="s">
        <v>18</v>
      </c>
    </row>
    <row r="170" spans="1:14" x14ac:dyDescent="0.3">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1">
        <v>160000</v>
      </c>
      <c r="E180">
        <v>4</v>
      </c>
      <c r="F180" t="s">
        <v>19</v>
      </c>
      <c r="G180" t="s">
        <v>21</v>
      </c>
      <c r="H180" t="s">
        <v>18</v>
      </c>
      <c r="I180">
        <v>2</v>
      </c>
      <c r="J180" t="s">
        <v>40</v>
      </c>
      <c r="K180" t="s">
        <v>17</v>
      </c>
      <c r="L180">
        <v>55</v>
      </c>
      <c r="M180" t="str">
        <f t="shared" si="2"/>
        <v>Old</v>
      </c>
      <c r="N180" t="s">
        <v>15</v>
      </c>
    </row>
    <row r="181" spans="1:14" x14ac:dyDescent="0.3">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1">
        <v>130000</v>
      </c>
      <c r="E186">
        <v>4</v>
      </c>
      <c r="F186" t="s">
        <v>27</v>
      </c>
      <c r="G186" t="s">
        <v>28</v>
      </c>
      <c r="H186" t="s">
        <v>18</v>
      </c>
      <c r="I186">
        <v>4</v>
      </c>
      <c r="J186" t="s">
        <v>40</v>
      </c>
      <c r="K186" t="s">
        <v>17</v>
      </c>
      <c r="L186">
        <v>58</v>
      </c>
      <c r="M186" t="str">
        <f t="shared" si="2"/>
        <v>Old</v>
      </c>
      <c r="N186" t="s">
        <v>18</v>
      </c>
    </row>
    <row r="187" spans="1:14" x14ac:dyDescent="0.3">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1">
        <v>80000</v>
      </c>
      <c r="E189">
        <v>5</v>
      </c>
      <c r="F189" t="s">
        <v>19</v>
      </c>
      <c r="G189" t="s">
        <v>21</v>
      </c>
      <c r="H189" t="s">
        <v>18</v>
      </c>
      <c r="I189">
        <v>2</v>
      </c>
      <c r="J189" t="s">
        <v>40</v>
      </c>
      <c r="K189" t="s">
        <v>17</v>
      </c>
      <c r="L189">
        <v>59</v>
      </c>
      <c r="M189" t="str">
        <f t="shared" si="2"/>
        <v>Old</v>
      </c>
      <c r="N189" t="s">
        <v>18</v>
      </c>
    </row>
    <row r="190" spans="1:14" x14ac:dyDescent="0.3">
      <c r="A190">
        <v>20606</v>
      </c>
      <c r="B190" t="s">
        <v>36</v>
      </c>
      <c r="C190" t="s">
        <v>38</v>
      </c>
      <c r="D190" s="1">
        <v>70000</v>
      </c>
      <c r="E190">
        <v>0</v>
      </c>
      <c r="F190" t="s">
        <v>13</v>
      </c>
      <c r="G190" t="s">
        <v>21</v>
      </c>
      <c r="H190" t="s">
        <v>15</v>
      </c>
      <c r="I190">
        <v>4</v>
      </c>
      <c r="J190" t="s">
        <v>40</v>
      </c>
      <c r="K190" t="s">
        <v>24</v>
      </c>
      <c r="L190">
        <v>32</v>
      </c>
      <c r="M190" t="str">
        <f t="shared" si="2"/>
        <v>Middle Age</v>
      </c>
      <c r="N190" t="s">
        <v>15</v>
      </c>
    </row>
    <row r="191" spans="1:14" x14ac:dyDescent="0.3">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1">
        <v>80000</v>
      </c>
      <c r="E194">
        <v>5</v>
      </c>
      <c r="F194" t="s">
        <v>13</v>
      </c>
      <c r="G194" t="s">
        <v>28</v>
      </c>
      <c r="H194" t="s">
        <v>15</v>
      </c>
      <c r="I194">
        <v>2</v>
      </c>
      <c r="J194" t="s">
        <v>40</v>
      </c>
      <c r="K194" t="s">
        <v>17</v>
      </c>
      <c r="L194">
        <v>62</v>
      </c>
      <c r="M194" t="str">
        <f t="shared" si="2"/>
        <v>Old</v>
      </c>
      <c r="N194" t="s">
        <v>18</v>
      </c>
    </row>
    <row r="195" spans="1:14" x14ac:dyDescent="0.3">
      <c r="A195">
        <v>26032</v>
      </c>
      <c r="B195" t="s">
        <v>36</v>
      </c>
      <c r="C195" t="s">
        <v>38</v>
      </c>
      <c r="D195" s="1">
        <v>70000</v>
      </c>
      <c r="E195">
        <v>5</v>
      </c>
      <c r="F195" t="s">
        <v>13</v>
      </c>
      <c r="G195" t="s">
        <v>21</v>
      </c>
      <c r="H195" t="s">
        <v>15</v>
      </c>
      <c r="I195">
        <v>4</v>
      </c>
      <c r="J195" t="s">
        <v>40</v>
      </c>
      <c r="K195" t="s">
        <v>24</v>
      </c>
      <c r="L195">
        <v>41</v>
      </c>
      <c r="M195" t="str">
        <f t="shared" ref="M195:M258" si="3">IF(L195&gt;54, "Old",IF(L195&gt;=31,"Middle Age",IF(L195&lt;31,"Adolescent","Invalid")))</f>
        <v>Middle Age</v>
      </c>
      <c r="N195" t="s">
        <v>18</v>
      </c>
    </row>
    <row r="196" spans="1:14" x14ac:dyDescent="0.3">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1">
        <v>80000</v>
      </c>
      <c r="E201">
        <v>0</v>
      </c>
      <c r="F201" t="s">
        <v>13</v>
      </c>
      <c r="G201" t="s">
        <v>21</v>
      </c>
      <c r="H201" t="s">
        <v>18</v>
      </c>
      <c r="I201">
        <v>3</v>
      </c>
      <c r="J201" t="s">
        <v>40</v>
      </c>
      <c r="K201" t="s">
        <v>24</v>
      </c>
      <c r="L201">
        <v>33</v>
      </c>
      <c r="M201" t="str">
        <f t="shared" si="3"/>
        <v>Middle Age</v>
      </c>
      <c r="N201" t="s">
        <v>15</v>
      </c>
    </row>
    <row r="202" spans="1:14" x14ac:dyDescent="0.3">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1">
        <v>90000</v>
      </c>
      <c r="E208">
        <v>5</v>
      </c>
      <c r="F208" t="s">
        <v>19</v>
      </c>
      <c r="G208" t="s">
        <v>21</v>
      </c>
      <c r="H208" t="s">
        <v>18</v>
      </c>
      <c r="I208">
        <v>2</v>
      </c>
      <c r="J208" t="s">
        <v>40</v>
      </c>
      <c r="K208" t="s">
        <v>17</v>
      </c>
      <c r="L208">
        <v>62</v>
      </c>
      <c r="M208" t="str">
        <f t="shared" si="3"/>
        <v>Old</v>
      </c>
      <c r="N208" t="s">
        <v>18</v>
      </c>
    </row>
    <row r="209" spans="1:14" x14ac:dyDescent="0.3">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1">
        <v>70000</v>
      </c>
      <c r="E215">
        <v>0</v>
      </c>
      <c r="F215" t="s">
        <v>13</v>
      </c>
      <c r="G215" t="s">
        <v>21</v>
      </c>
      <c r="H215" t="s">
        <v>18</v>
      </c>
      <c r="I215">
        <v>4</v>
      </c>
      <c r="J215" t="s">
        <v>40</v>
      </c>
      <c r="K215" t="s">
        <v>24</v>
      </c>
      <c r="L215">
        <v>31</v>
      </c>
      <c r="M215" t="str">
        <f t="shared" si="3"/>
        <v>Middle Age</v>
      </c>
      <c r="N215" t="s">
        <v>15</v>
      </c>
    </row>
    <row r="216" spans="1:14" x14ac:dyDescent="0.3">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1">
        <v>70000</v>
      </c>
      <c r="E225">
        <v>5</v>
      </c>
      <c r="F225" t="s">
        <v>13</v>
      </c>
      <c r="G225" t="s">
        <v>21</v>
      </c>
      <c r="H225" t="s">
        <v>15</v>
      </c>
      <c r="I225">
        <v>4</v>
      </c>
      <c r="J225" t="s">
        <v>40</v>
      </c>
      <c r="K225" t="s">
        <v>24</v>
      </c>
      <c r="L225">
        <v>39</v>
      </c>
      <c r="M225" t="str">
        <f t="shared" si="3"/>
        <v>Middle Age</v>
      </c>
      <c r="N225" t="s">
        <v>18</v>
      </c>
    </row>
    <row r="226" spans="1:14" x14ac:dyDescent="0.3">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1">
        <v>80000</v>
      </c>
      <c r="E231">
        <v>5</v>
      </c>
      <c r="F231" t="s">
        <v>27</v>
      </c>
      <c r="G231" t="s">
        <v>28</v>
      </c>
      <c r="H231" t="s">
        <v>15</v>
      </c>
      <c r="I231">
        <v>3</v>
      </c>
      <c r="J231" t="s">
        <v>40</v>
      </c>
      <c r="K231" t="s">
        <v>17</v>
      </c>
      <c r="L231">
        <v>57</v>
      </c>
      <c r="M231" t="str">
        <f t="shared" si="3"/>
        <v>Old</v>
      </c>
      <c r="N231" t="s">
        <v>18</v>
      </c>
    </row>
    <row r="232" spans="1:14" x14ac:dyDescent="0.3">
      <c r="A232">
        <v>22830</v>
      </c>
      <c r="B232" t="s">
        <v>36</v>
      </c>
      <c r="C232" t="s">
        <v>39</v>
      </c>
      <c r="D232" s="1">
        <v>120000</v>
      </c>
      <c r="E232">
        <v>4</v>
      </c>
      <c r="F232" t="s">
        <v>19</v>
      </c>
      <c r="G232" t="s">
        <v>28</v>
      </c>
      <c r="H232" t="s">
        <v>15</v>
      </c>
      <c r="I232">
        <v>3</v>
      </c>
      <c r="J232" t="s">
        <v>40</v>
      </c>
      <c r="K232" t="s">
        <v>17</v>
      </c>
      <c r="L232">
        <v>56</v>
      </c>
      <c r="M232" t="str">
        <f t="shared" si="3"/>
        <v>Old</v>
      </c>
      <c r="N232" t="s">
        <v>18</v>
      </c>
    </row>
    <row r="233" spans="1:14" x14ac:dyDescent="0.3">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1">
        <v>90000</v>
      </c>
      <c r="E236">
        <v>0</v>
      </c>
      <c r="F236" t="s">
        <v>13</v>
      </c>
      <c r="G236" t="s">
        <v>21</v>
      </c>
      <c r="H236" t="s">
        <v>18</v>
      </c>
      <c r="I236">
        <v>4</v>
      </c>
      <c r="J236" t="s">
        <v>40</v>
      </c>
      <c r="K236" t="s">
        <v>24</v>
      </c>
      <c r="L236">
        <v>35</v>
      </c>
      <c r="M236" t="str">
        <f t="shared" si="3"/>
        <v>Middle Age</v>
      </c>
      <c r="N236" t="s">
        <v>15</v>
      </c>
    </row>
    <row r="237" spans="1:14" x14ac:dyDescent="0.3">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1">
        <v>120000</v>
      </c>
      <c r="E246">
        <v>3</v>
      </c>
      <c r="F246" t="s">
        <v>13</v>
      </c>
      <c r="G246" t="s">
        <v>28</v>
      </c>
      <c r="H246" t="s">
        <v>18</v>
      </c>
      <c r="I246">
        <v>2</v>
      </c>
      <c r="J246" t="s">
        <v>40</v>
      </c>
      <c r="K246" t="s">
        <v>17</v>
      </c>
      <c r="L246">
        <v>52</v>
      </c>
      <c r="M246" t="str">
        <f t="shared" si="3"/>
        <v>Middle Age</v>
      </c>
      <c r="N246" t="s">
        <v>15</v>
      </c>
    </row>
    <row r="247" spans="1:14" x14ac:dyDescent="0.3">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1">
        <v>100000</v>
      </c>
      <c r="E249">
        <v>0</v>
      </c>
      <c r="F249" t="s">
        <v>27</v>
      </c>
      <c r="G249" t="s">
        <v>28</v>
      </c>
      <c r="H249" t="s">
        <v>15</v>
      </c>
      <c r="I249">
        <v>4</v>
      </c>
      <c r="J249" t="s">
        <v>40</v>
      </c>
      <c r="K249" t="s">
        <v>24</v>
      </c>
      <c r="L249">
        <v>34</v>
      </c>
      <c r="M249" t="str">
        <f t="shared" si="3"/>
        <v>Middle Age</v>
      </c>
      <c r="N249" t="s">
        <v>15</v>
      </c>
    </row>
    <row r="250" spans="1:14" x14ac:dyDescent="0.3">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1">
        <v>100000</v>
      </c>
      <c r="E255">
        <v>3</v>
      </c>
      <c r="F255" t="s">
        <v>29</v>
      </c>
      <c r="G255" t="s">
        <v>21</v>
      </c>
      <c r="H255" t="s">
        <v>15</v>
      </c>
      <c r="I255">
        <v>0</v>
      </c>
      <c r="J255" t="s">
        <v>40</v>
      </c>
      <c r="K255" t="s">
        <v>17</v>
      </c>
      <c r="L255">
        <v>59</v>
      </c>
      <c r="M255" t="str">
        <f t="shared" si="3"/>
        <v>Old</v>
      </c>
      <c r="N255" t="s">
        <v>15</v>
      </c>
    </row>
    <row r="256" spans="1:14" x14ac:dyDescent="0.3">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1">
        <v>50000</v>
      </c>
      <c r="E259">
        <v>0</v>
      </c>
      <c r="F259" t="s">
        <v>31</v>
      </c>
      <c r="G259" t="s">
        <v>14</v>
      </c>
      <c r="H259" t="s">
        <v>15</v>
      </c>
      <c r="I259">
        <v>0</v>
      </c>
      <c r="J259" t="s">
        <v>16</v>
      </c>
      <c r="K259" t="s">
        <v>17</v>
      </c>
      <c r="L259">
        <v>36</v>
      </c>
      <c r="M259" t="str">
        <f t="shared" ref="M259:M322" si="4">IF(L259&gt;54, "Old",IF(L259&gt;=31,"Middle Age",IF(L259&lt;31,"Adolescent","Invalid")))</f>
        <v>Middle Age</v>
      </c>
      <c r="N259" t="s">
        <v>15</v>
      </c>
    </row>
    <row r="260" spans="1:14" x14ac:dyDescent="0.3">
      <c r="A260">
        <v>14193</v>
      </c>
      <c r="B260" t="s">
        <v>37</v>
      </c>
      <c r="C260" t="s">
        <v>38</v>
      </c>
      <c r="D260" s="1">
        <v>100000</v>
      </c>
      <c r="E260">
        <v>3</v>
      </c>
      <c r="F260" t="s">
        <v>19</v>
      </c>
      <c r="G260" t="s">
        <v>28</v>
      </c>
      <c r="H260" t="s">
        <v>15</v>
      </c>
      <c r="I260">
        <v>4</v>
      </c>
      <c r="J260" t="s">
        <v>40</v>
      </c>
      <c r="K260" t="s">
        <v>17</v>
      </c>
      <c r="L260">
        <v>56</v>
      </c>
      <c r="M260" t="str">
        <f t="shared" si="4"/>
        <v>Old</v>
      </c>
      <c r="N260" t="s">
        <v>18</v>
      </c>
    </row>
    <row r="261" spans="1:14" x14ac:dyDescent="0.3">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1">
        <v>70000</v>
      </c>
      <c r="E265">
        <v>5</v>
      </c>
      <c r="F265" t="s">
        <v>13</v>
      </c>
      <c r="G265" t="s">
        <v>21</v>
      </c>
      <c r="H265" t="s">
        <v>15</v>
      </c>
      <c r="I265">
        <v>3</v>
      </c>
      <c r="J265" t="s">
        <v>40</v>
      </c>
      <c r="K265" t="s">
        <v>24</v>
      </c>
      <c r="L265">
        <v>39</v>
      </c>
      <c r="M265" t="str">
        <f t="shared" si="4"/>
        <v>Middle Age</v>
      </c>
      <c r="N265" t="s">
        <v>18</v>
      </c>
    </row>
    <row r="266" spans="1:14" x14ac:dyDescent="0.3">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1">
        <v>100000</v>
      </c>
      <c r="E280">
        <v>0</v>
      </c>
      <c r="F280" t="s">
        <v>27</v>
      </c>
      <c r="G280" t="s">
        <v>28</v>
      </c>
      <c r="H280" t="s">
        <v>15</v>
      </c>
      <c r="I280">
        <v>3</v>
      </c>
      <c r="J280" t="s">
        <v>40</v>
      </c>
      <c r="K280" t="s">
        <v>24</v>
      </c>
      <c r="L280">
        <v>35</v>
      </c>
      <c r="M280" t="str">
        <f t="shared" si="4"/>
        <v>Middle Age</v>
      </c>
      <c r="N280" t="s">
        <v>15</v>
      </c>
    </row>
    <row r="281" spans="1:14" x14ac:dyDescent="0.3">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1">
        <v>110000</v>
      </c>
      <c r="E297">
        <v>0</v>
      </c>
      <c r="F297" t="s">
        <v>19</v>
      </c>
      <c r="G297" t="s">
        <v>28</v>
      </c>
      <c r="H297" t="s">
        <v>15</v>
      </c>
      <c r="I297">
        <v>3</v>
      </c>
      <c r="J297" t="s">
        <v>40</v>
      </c>
      <c r="K297" t="s">
        <v>24</v>
      </c>
      <c r="L297">
        <v>32</v>
      </c>
      <c r="M297" t="str">
        <f t="shared" si="4"/>
        <v>Middle Age</v>
      </c>
      <c r="N297" t="s">
        <v>15</v>
      </c>
    </row>
    <row r="298" spans="1:14" x14ac:dyDescent="0.3">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1">
        <v>130000</v>
      </c>
      <c r="E320">
        <v>4</v>
      </c>
      <c r="F320" t="s">
        <v>19</v>
      </c>
      <c r="G320" t="s">
        <v>21</v>
      </c>
      <c r="H320" t="s">
        <v>18</v>
      </c>
      <c r="I320">
        <v>3</v>
      </c>
      <c r="J320" t="s">
        <v>40</v>
      </c>
      <c r="K320" t="s">
        <v>17</v>
      </c>
      <c r="L320">
        <v>54</v>
      </c>
      <c r="M320" t="str">
        <f t="shared" si="4"/>
        <v>Middle Age</v>
      </c>
      <c r="N320" t="s">
        <v>18</v>
      </c>
    </row>
    <row r="321" spans="1:14" x14ac:dyDescent="0.3">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1">
        <v>160000</v>
      </c>
      <c r="E323">
        <v>0</v>
      </c>
      <c r="F323" t="s">
        <v>31</v>
      </c>
      <c r="G323" t="s">
        <v>28</v>
      </c>
      <c r="H323" t="s">
        <v>18</v>
      </c>
      <c r="I323">
        <v>3</v>
      </c>
      <c r="J323" t="s">
        <v>16</v>
      </c>
      <c r="K323" t="s">
        <v>24</v>
      </c>
      <c r="L323">
        <v>47</v>
      </c>
      <c r="M323" t="str">
        <f t="shared" ref="M323:M386" si="5">IF(L323&gt;54, "Old",IF(L323&gt;=31,"Middle Age",IF(L323&lt;31,"Adolescent","Invalid")))</f>
        <v>Middle Age</v>
      </c>
      <c r="N323" t="s">
        <v>15</v>
      </c>
    </row>
    <row r="324" spans="1:14" x14ac:dyDescent="0.3">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1">
        <v>90000</v>
      </c>
      <c r="E331">
        <v>5</v>
      </c>
      <c r="F331" t="s">
        <v>29</v>
      </c>
      <c r="G331" t="s">
        <v>14</v>
      </c>
      <c r="H331" t="s">
        <v>15</v>
      </c>
      <c r="I331">
        <v>2</v>
      </c>
      <c r="J331" t="s">
        <v>40</v>
      </c>
      <c r="K331" t="s">
        <v>17</v>
      </c>
      <c r="L331">
        <v>59</v>
      </c>
      <c r="M331" t="str">
        <f t="shared" si="5"/>
        <v>Old</v>
      </c>
      <c r="N331" t="s">
        <v>18</v>
      </c>
    </row>
    <row r="332" spans="1:14" x14ac:dyDescent="0.3">
      <c r="A332">
        <v>24898</v>
      </c>
      <c r="B332" t="s">
        <v>37</v>
      </c>
      <c r="C332" t="s">
        <v>38</v>
      </c>
      <c r="D332" s="1">
        <v>80000</v>
      </c>
      <c r="E332">
        <v>0</v>
      </c>
      <c r="F332" t="s">
        <v>13</v>
      </c>
      <c r="G332" t="s">
        <v>21</v>
      </c>
      <c r="H332" t="s">
        <v>15</v>
      </c>
      <c r="I332">
        <v>3</v>
      </c>
      <c r="J332" t="s">
        <v>40</v>
      </c>
      <c r="K332" t="s">
        <v>24</v>
      </c>
      <c r="L332">
        <v>32</v>
      </c>
      <c r="M332" t="str">
        <f t="shared" si="5"/>
        <v>Middle Age</v>
      </c>
      <c r="N332" t="s">
        <v>18</v>
      </c>
    </row>
    <row r="333" spans="1:14" x14ac:dyDescent="0.3">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1">
        <v>80000</v>
      </c>
      <c r="E357">
        <v>0</v>
      </c>
      <c r="F357" t="s">
        <v>13</v>
      </c>
      <c r="G357" t="s">
        <v>21</v>
      </c>
      <c r="H357" t="s">
        <v>15</v>
      </c>
      <c r="I357">
        <v>3</v>
      </c>
      <c r="J357" t="s">
        <v>40</v>
      </c>
      <c r="K357" t="s">
        <v>24</v>
      </c>
      <c r="L357">
        <v>32</v>
      </c>
      <c r="M357" t="str">
        <f t="shared" si="5"/>
        <v>Middle Age</v>
      </c>
      <c r="N357" t="s">
        <v>18</v>
      </c>
    </row>
    <row r="358" spans="1:14" x14ac:dyDescent="0.3">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1">
        <v>80000</v>
      </c>
      <c r="E361">
        <v>0</v>
      </c>
      <c r="F361" t="s">
        <v>13</v>
      </c>
      <c r="G361" t="s">
        <v>21</v>
      </c>
      <c r="H361" t="s">
        <v>15</v>
      </c>
      <c r="I361">
        <v>3</v>
      </c>
      <c r="J361" t="s">
        <v>40</v>
      </c>
      <c r="K361" t="s">
        <v>24</v>
      </c>
      <c r="L361">
        <v>30</v>
      </c>
      <c r="M361" t="str">
        <f t="shared" si="5"/>
        <v>Adolescent</v>
      </c>
      <c r="N361" t="s">
        <v>18</v>
      </c>
    </row>
    <row r="362" spans="1:14" x14ac:dyDescent="0.3">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1">
        <v>100000</v>
      </c>
      <c r="E372">
        <v>4</v>
      </c>
      <c r="F372" t="s">
        <v>13</v>
      </c>
      <c r="G372" t="s">
        <v>21</v>
      </c>
      <c r="H372" t="s">
        <v>15</v>
      </c>
      <c r="I372">
        <v>1</v>
      </c>
      <c r="J372" t="s">
        <v>40</v>
      </c>
      <c r="K372" t="s">
        <v>24</v>
      </c>
      <c r="L372">
        <v>46</v>
      </c>
      <c r="M372" t="str">
        <f t="shared" si="5"/>
        <v>Middle Age</v>
      </c>
      <c r="N372" t="s">
        <v>18</v>
      </c>
    </row>
    <row r="373" spans="1:14" x14ac:dyDescent="0.3">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1">
        <v>70000</v>
      </c>
      <c r="E382">
        <v>0</v>
      </c>
      <c r="F382" t="s">
        <v>13</v>
      </c>
      <c r="G382" t="s">
        <v>21</v>
      </c>
      <c r="H382" t="s">
        <v>18</v>
      </c>
      <c r="I382">
        <v>3</v>
      </c>
      <c r="J382" t="s">
        <v>40</v>
      </c>
      <c r="K382" t="s">
        <v>24</v>
      </c>
      <c r="L382">
        <v>30</v>
      </c>
      <c r="M382" t="str">
        <f t="shared" si="5"/>
        <v>Adolescent</v>
      </c>
      <c r="N382" t="s">
        <v>15</v>
      </c>
    </row>
    <row r="383" spans="1:14" x14ac:dyDescent="0.3">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1">
        <v>80000</v>
      </c>
      <c r="E384">
        <v>4</v>
      </c>
      <c r="F384" t="s">
        <v>19</v>
      </c>
      <c r="G384" t="s">
        <v>21</v>
      </c>
      <c r="H384" t="s">
        <v>15</v>
      </c>
      <c r="I384">
        <v>2</v>
      </c>
      <c r="J384" t="s">
        <v>40</v>
      </c>
      <c r="K384" t="s">
        <v>17</v>
      </c>
      <c r="L384">
        <v>53</v>
      </c>
      <c r="M384" t="str">
        <f t="shared" si="5"/>
        <v>Middle Age</v>
      </c>
      <c r="N384" t="s">
        <v>18</v>
      </c>
    </row>
    <row r="385" spans="1:14" x14ac:dyDescent="0.3">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1">
        <v>30000</v>
      </c>
      <c r="E387">
        <v>3</v>
      </c>
      <c r="F387" t="s">
        <v>19</v>
      </c>
      <c r="G387" t="s">
        <v>20</v>
      </c>
      <c r="H387" t="s">
        <v>15</v>
      </c>
      <c r="I387">
        <v>0</v>
      </c>
      <c r="J387" t="s">
        <v>16</v>
      </c>
      <c r="K387" t="s">
        <v>17</v>
      </c>
      <c r="L387">
        <v>43</v>
      </c>
      <c r="M387" t="str">
        <f t="shared" ref="M387:M450" si="6">IF(L387&gt;54, "Old",IF(L387&gt;=31,"Middle Age",IF(L387&lt;31,"Adolescent","Invalid")))</f>
        <v>Middle Age</v>
      </c>
      <c r="N387" t="s">
        <v>18</v>
      </c>
    </row>
    <row r="388" spans="1:14" x14ac:dyDescent="0.3">
      <c r="A388">
        <v>28957</v>
      </c>
      <c r="B388" t="s">
        <v>37</v>
      </c>
      <c r="C388" t="s">
        <v>38</v>
      </c>
      <c r="D388" s="1">
        <v>120000</v>
      </c>
      <c r="E388">
        <v>0</v>
      </c>
      <c r="F388" t="s">
        <v>29</v>
      </c>
      <c r="G388" t="s">
        <v>21</v>
      </c>
      <c r="H388" t="s">
        <v>15</v>
      </c>
      <c r="I388">
        <v>4</v>
      </c>
      <c r="J388" t="s">
        <v>40</v>
      </c>
      <c r="K388" t="s">
        <v>24</v>
      </c>
      <c r="L388">
        <v>34</v>
      </c>
      <c r="M388" t="str">
        <f t="shared" si="6"/>
        <v>Middle Age</v>
      </c>
      <c r="N388" t="s">
        <v>15</v>
      </c>
    </row>
    <row r="389" spans="1:14" x14ac:dyDescent="0.3">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1">
        <v>110000</v>
      </c>
      <c r="E402">
        <v>3</v>
      </c>
      <c r="F402" t="s">
        <v>13</v>
      </c>
      <c r="G402" t="s">
        <v>28</v>
      </c>
      <c r="H402" t="s">
        <v>15</v>
      </c>
      <c r="I402">
        <v>4</v>
      </c>
      <c r="J402" t="s">
        <v>40</v>
      </c>
      <c r="K402" t="s">
        <v>17</v>
      </c>
      <c r="L402">
        <v>53</v>
      </c>
      <c r="M402" t="str">
        <f t="shared" si="6"/>
        <v>Middle Age</v>
      </c>
      <c r="N402" t="s">
        <v>18</v>
      </c>
    </row>
    <row r="403" spans="1:14" x14ac:dyDescent="0.3">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1">
        <v>100000</v>
      </c>
      <c r="E422">
        <v>2</v>
      </c>
      <c r="F422" t="s">
        <v>13</v>
      </c>
      <c r="G422" t="s">
        <v>28</v>
      </c>
      <c r="H422" t="s">
        <v>15</v>
      </c>
      <c r="I422">
        <v>4</v>
      </c>
      <c r="J422" t="s">
        <v>40</v>
      </c>
      <c r="K422" t="s">
        <v>17</v>
      </c>
      <c r="L422">
        <v>59</v>
      </c>
      <c r="M422" t="str">
        <f t="shared" si="6"/>
        <v>Old</v>
      </c>
      <c r="N422" t="s">
        <v>18</v>
      </c>
    </row>
    <row r="423" spans="1:14" x14ac:dyDescent="0.3">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1">
        <v>110000</v>
      </c>
      <c r="E424">
        <v>0</v>
      </c>
      <c r="F424" t="s">
        <v>19</v>
      </c>
      <c r="G424" t="s">
        <v>28</v>
      </c>
      <c r="H424" t="s">
        <v>18</v>
      </c>
      <c r="I424">
        <v>3</v>
      </c>
      <c r="J424" t="s">
        <v>40</v>
      </c>
      <c r="K424" t="s">
        <v>24</v>
      </c>
      <c r="L424">
        <v>32</v>
      </c>
      <c r="M424" t="str">
        <f t="shared" si="6"/>
        <v>Middle Age</v>
      </c>
      <c r="N424" t="s">
        <v>15</v>
      </c>
    </row>
    <row r="425" spans="1:14" x14ac:dyDescent="0.3">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1">
        <v>110000</v>
      </c>
      <c r="E434">
        <v>0</v>
      </c>
      <c r="F434" t="s">
        <v>27</v>
      </c>
      <c r="G434" t="s">
        <v>28</v>
      </c>
      <c r="H434" t="s">
        <v>15</v>
      </c>
      <c r="I434">
        <v>3</v>
      </c>
      <c r="J434" t="s">
        <v>40</v>
      </c>
      <c r="K434" t="s">
        <v>24</v>
      </c>
      <c r="L434">
        <v>34</v>
      </c>
      <c r="M434" t="str">
        <f t="shared" si="6"/>
        <v>Middle Age</v>
      </c>
      <c r="N434" t="s">
        <v>15</v>
      </c>
    </row>
    <row r="435" spans="1:14" x14ac:dyDescent="0.3">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1">
        <v>90000</v>
      </c>
      <c r="E442">
        <v>0</v>
      </c>
      <c r="F442" t="s">
        <v>13</v>
      </c>
      <c r="G442" t="s">
        <v>21</v>
      </c>
      <c r="H442" t="s">
        <v>18</v>
      </c>
      <c r="I442">
        <v>3</v>
      </c>
      <c r="J442" t="s">
        <v>40</v>
      </c>
      <c r="K442" t="s">
        <v>24</v>
      </c>
      <c r="L442">
        <v>34</v>
      </c>
      <c r="M442" t="str">
        <f t="shared" si="6"/>
        <v>Middle Age</v>
      </c>
      <c r="N442" t="s">
        <v>15</v>
      </c>
    </row>
    <row r="443" spans="1:14" x14ac:dyDescent="0.3">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1">
        <v>130000</v>
      </c>
      <c r="E448">
        <v>0</v>
      </c>
      <c r="F448" t="s">
        <v>31</v>
      </c>
      <c r="G448" t="s">
        <v>28</v>
      </c>
      <c r="H448" t="s">
        <v>15</v>
      </c>
      <c r="I448">
        <v>1</v>
      </c>
      <c r="J448" t="s">
        <v>40</v>
      </c>
      <c r="K448" t="s">
        <v>24</v>
      </c>
      <c r="L448">
        <v>48</v>
      </c>
      <c r="M448" t="str">
        <f t="shared" si="6"/>
        <v>Middle Age</v>
      </c>
      <c r="N448" t="s">
        <v>18</v>
      </c>
    </row>
    <row r="449" spans="1:14" x14ac:dyDescent="0.3">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1">
        <v>40000</v>
      </c>
      <c r="E451">
        <v>1</v>
      </c>
      <c r="F451" t="s">
        <v>13</v>
      </c>
      <c r="G451" t="s">
        <v>14</v>
      </c>
      <c r="H451" t="s">
        <v>15</v>
      </c>
      <c r="I451">
        <v>0</v>
      </c>
      <c r="J451" t="s">
        <v>16</v>
      </c>
      <c r="K451" t="s">
        <v>17</v>
      </c>
      <c r="L451">
        <v>42</v>
      </c>
      <c r="M451" t="str">
        <f t="shared" ref="M451:M514" si="7">IF(L451&gt;54, "Old",IF(L451&gt;=31,"Middle Age",IF(L451&lt;31,"Adolescent","Invalid")))</f>
        <v>Middle Age</v>
      </c>
      <c r="N451" t="s">
        <v>18</v>
      </c>
    </row>
    <row r="452" spans="1:14" x14ac:dyDescent="0.3">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1">
        <v>120000</v>
      </c>
      <c r="E460">
        <v>0</v>
      </c>
      <c r="F460" t="s">
        <v>29</v>
      </c>
      <c r="G460" t="s">
        <v>21</v>
      </c>
      <c r="H460" t="s">
        <v>15</v>
      </c>
      <c r="I460">
        <v>4</v>
      </c>
      <c r="J460" t="s">
        <v>40</v>
      </c>
      <c r="K460" t="s">
        <v>24</v>
      </c>
      <c r="L460">
        <v>32</v>
      </c>
      <c r="M460" t="str">
        <f t="shared" si="7"/>
        <v>Middle Age</v>
      </c>
      <c r="N460" t="s">
        <v>15</v>
      </c>
    </row>
    <row r="461" spans="1:14" x14ac:dyDescent="0.3">
      <c r="A461">
        <v>21554</v>
      </c>
      <c r="B461" t="s">
        <v>37</v>
      </c>
      <c r="C461" t="s">
        <v>38</v>
      </c>
      <c r="D461" s="1">
        <v>80000</v>
      </c>
      <c r="E461">
        <v>0</v>
      </c>
      <c r="F461" t="s">
        <v>13</v>
      </c>
      <c r="G461" t="s">
        <v>21</v>
      </c>
      <c r="H461" t="s">
        <v>18</v>
      </c>
      <c r="I461">
        <v>3</v>
      </c>
      <c r="J461" t="s">
        <v>40</v>
      </c>
      <c r="K461" t="s">
        <v>24</v>
      </c>
      <c r="L461">
        <v>33</v>
      </c>
      <c r="M461" t="str">
        <f t="shared" si="7"/>
        <v>Middle Age</v>
      </c>
      <c r="N461" t="s">
        <v>18</v>
      </c>
    </row>
    <row r="462" spans="1:14" x14ac:dyDescent="0.3">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1">
        <v>90000</v>
      </c>
      <c r="E488">
        <v>4</v>
      </c>
      <c r="F488" t="s">
        <v>29</v>
      </c>
      <c r="G488" t="s">
        <v>14</v>
      </c>
      <c r="H488" t="s">
        <v>15</v>
      </c>
      <c r="I488">
        <v>4</v>
      </c>
      <c r="J488" t="s">
        <v>40</v>
      </c>
      <c r="K488" t="s">
        <v>17</v>
      </c>
      <c r="L488">
        <v>58</v>
      </c>
      <c r="M488" t="str">
        <f t="shared" si="7"/>
        <v>Old</v>
      </c>
      <c r="N488" t="s">
        <v>18</v>
      </c>
    </row>
    <row r="489" spans="1:14" x14ac:dyDescent="0.3">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1">
        <v>70000</v>
      </c>
      <c r="E495">
        <v>5</v>
      </c>
      <c r="F495" t="s">
        <v>13</v>
      </c>
      <c r="G495" t="s">
        <v>28</v>
      </c>
      <c r="H495" t="s">
        <v>15</v>
      </c>
      <c r="I495">
        <v>3</v>
      </c>
      <c r="J495" t="s">
        <v>40</v>
      </c>
      <c r="K495" t="s">
        <v>32</v>
      </c>
      <c r="L495">
        <v>60</v>
      </c>
      <c r="M495" t="str">
        <f t="shared" si="7"/>
        <v>Old</v>
      </c>
      <c r="N495" t="s">
        <v>15</v>
      </c>
    </row>
    <row r="496" spans="1:14" x14ac:dyDescent="0.3">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1">
        <v>60000</v>
      </c>
      <c r="E497">
        <v>2</v>
      </c>
      <c r="F497" t="s">
        <v>19</v>
      </c>
      <c r="G497" t="s">
        <v>21</v>
      </c>
      <c r="H497" t="s">
        <v>15</v>
      </c>
      <c r="I497">
        <v>2</v>
      </c>
      <c r="J497" t="s">
        <v>40</v>
      </c>
      <c r="K497" t="s">
        <v>32</v>
      </c>
      <c r="L497">
        <v>56</v>
      </c>
      <c r="M497" t="str">
        <f t="shared" si="7"/>
        <v>Old</v>
      </c>
      <c r="N497" t="s">
        <v>18</v>
      </c>
    </row>
    <row r="498" spans="1:14" x14ac:dyDescent="0.3">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1">
        <v>60000</v>
      </c>
      <c r="E515">
        <v>4</v>
      </c>
      <c r="F515" t="s">
        <v>31</v>
      </c>
      <c r="G515" t="s">
        <v>28</v>
      </c>
      <c r="H515" t="s">
        <v>15</v>
      </c>
      <c r="I515">
        <v>2</v>
      </c>
      <c r="J515" t="s">
        <v>40</v>
      </c>
      <c r="K515" t="s">
        <v>32</v>
      </c>
      <c r="L515">
        <v>61</v>
      </c>
      <c r="M515" t="str">
        <f t="shared" ref="M515:M578" si="8">IF(L515&gt;54, "Old",IF(L515&gt;=31,"Middle Age",IF(L515&lt;31,"Adolescent","Invalid")))</f>
        <v>Old</v>
      </c>
      <c r="N515" t="s">
        <v>15</v>
      </c>
    </row>
    <row r="516" spans="1:14" x14ac:dyDescent="0.3">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1">
        <v>40000</v>
      </c>
      <c r="E523">
        <v>4</v>
      </c>
      <c r="F523" t="s">
        <v>27</v>
      </c>
      <c r="G523" t="s">
        <v>21</v>
      </c>
      <c r="H523" t="s">
        <v>15</v>
      </c>
      <c r="I523">
        <v>2</v>
      </c>
      <c r="J523" t="s">
        <v>40</v>
      </c>
      <c r="K523" t="s">
        <v>32</v>
      </c>
      <c r="L523">
        <v>62</v>
      </c>
      <c r="M523" t="str">
        <f t="shared" si="8"/>
        <v>Old</v>
      </c>
      <c r="N523" t="s">
        <v>15</v>
      </c>
    </row>
    <row r="524" spans="1:14" x14ac:dyDescent="0.3">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1">
        <v>60000</v>
      </c>
      <c r="E527">
        <v>5</v>
      </c>
      <c r="F527" t="s">
        <v>13</v>
      </c>
      <c r="G527" t="s">
        <v>28</v>
      </c>
      <c r="H527" t="s">
        <v>15</v>
      </c>
      <c r="I527">
        <v>3</v>
      </c>
      <c r="J527" t="s">
        <v>40</v>
      </c>
      <c r="K527" t="s">
        <v>32</v>
      </c>
      <c r="L527">
        <v>59</v>
      </c>
      <c r="M527" t="str">
        <f t="shared" si="8"/>
        <v>Old</v>
      </c>
      <c r="N527" t="s">
        <v>15</v>
      </c>
    </row>
    <row r="528" spans="1:14" x14ac:dyDescent="0.3">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1">
        <v>60000</v>
      </c>
      <c r="E531">
        <v>2</v>
      </c>
      <c r="F531" t="s">
        <v>19</v>
      </c>
      <c r="G531" t="s">
        <v>21</v>
      </c>
      <c r="H531" t="s">
        <v>15</v>
      </c>
      <c r="I531">
        <v>1</v>
      </c>
      <c r="J531" t="s">
        <v>40</v>
      </c>
      <c r="K531" t="s">
        <v>32</v>
      </c>
      <c r="L531">
        <v>57</v>
      </c>
      <c r="M531" t="str">
        <f t="shared" si="8"/>
        <v>Old</v>
      </c>
      <c r="N531" t="s">
        <v>15</v>
      </c>
    </row>
    <row r="532" spans="1:14" x14ac:dyDescent="0.3">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1">
        <v>60000</v>
      </c>
      <c r="E535">
        <v>3</v>
      </c>
      <c r="F535" t="s">
        <v>13</v>
      </c>
      <c r="G535" t="s">
        <v>28</v>
      </c>
      <c r="H535" t="s">
        <v>15</v>
      </c>
      <c r="I535">
        <v>2</v>
      </c>
      <c r="J535" t="s">
        <v>40</v>
      </c>
      <c r="K535" t="s">
        <v>32</v>
      </c>
      <c r="L535">
        <v>66</v>
      </c>
      <c r="M535" t="str">
        <f t="shared" si="8"/>
        <v>Old</v>
      </c>
      <c r="N535" t="s">
        <v>18</v>
      </c>
    </row>
    <row r="536" spans="1:14" x14ac:dyDescent="0.3">
      <c r="A536">
        <v>24637</v>
      </c>
      <c r="B536" t="s">
        <v>36</v>
      </c>
      <c r="C536" t="s">
        <v>39</v>
      </c>
      <c r="D536" s="1">
        <v>40000</v>
      </c>
      <c r="E536">
        <v>4</v>
      </c>
      <c r="F536" t="s">
        <v>27</v>
      </c>
      <c r="G536" t="s">
        <v>21</v>
      </c>
      <c r="H536" t="s">
        <v>15</v>
      </c>
      <c r="I536">
        <v>2</v>
      </c>
      <c r="J536" t="s">
        <v>40</v>
      </c>
      <c r="K536" t="s">
        <v>32</v>
      </c>
      <c r="L536">
        <v>64</v>
      </c>
      <c r="M536" t="str">
        <f t="shared" si="8"/>
        <v>Old</v>
      </c>
      <c r="N536" t="s">
        <v>18</v>
      </c>
    </row>
    <row r="537" spans="1:14" x14ac:dyDescent="0.3">
      <c r="A537">
        <v>23893</v>
      </c>
      <c r="B537" t="s">
        <v>36</v>
      </c>
      <c r="C537" t="s">
        <v>39</v>
      </c>
      <c r="D537" s="1">
        <v>50000</v>
      </c>
      <c r="E537">
        <v>3</v>
      </c>
      <c r="F537" t="s">
        <v>13</v>
      </c>
      <c r="G537" t="s">
        <v>14</v>
      </c>
      <c r="H537" t="s">
        <v>15</v>
      </c>
      <c r="I537">
        <v>3</v>
      </c>
      <c r="J537" t="s">
        <v>40</v>
      </c>
      <c r="K537" t="s">
        <v>32</v>
      </c>
      <c r="L537">
        <v>41</v>
      </c>
      <c r="M537" t="str">
        <f t="shared" si="8"/>
        <v>Middle Age</v>
      </c>
      <c r="N537" t="s">
        <v>18</v>
      </c>
    </row>
    <row r="538" spans="1:14" x14ac:dyDescent="0.3">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1">
        <v>50000</v>
      </c>
      <c r="E553">
        <v>4</v>
      </c>
      <c r="F553" t="s">
        <v>13</v>
      </c>
      <c r="G553" t="s">
        <v>28</v>
      </c>
      <c r="H553" t="s">
        <v>15</v>
      </c>
      <c r="I553">
        <v>2</v>
      </c>
      <c r="J553" t="s">
        <v>40</v>
      </c>
      <c r="K553" t="s">
        <v>32</v>
      </c>
      <c r="L553">
        <v>63</v>
      </c>
      <c r="M553" t="str">
        <f t="shared" si="8"/>
        <v>Old</v>
      </c>
      <c r="N553" t="s">
        <v>18</v>
      </c>
    </row>
    <row r="554" spans="1:14" x14ac:dyDescent="0.3">
      <c r="A554">
        <v>14417</v>
      </c>
      <c r="B554" t="s">
        <v>37</v>
      </c>
      <c r="C554" t="s">
        <v>39</v>
      </c>
      <c r="D554" s="1">
        <v>60000</v>
      </c>
      <c r="E554">
        <v>3</v>
      </c>
      <c r="F554" t="s">
        <v>27</v>
      </c>
      <c r="G554" t="s">
        <v>21</v>
      </c>
      <c r="H554" t="s">
        <v>15</v>
      </c>
      <c r="I554">
        <v>2</v>
      </c>
      <c r="J554" t="s">
        <v>40</v>
      </c>
      <c r="K554" t="s">
        <v>32</v>
      </c>
      <c r="L554">
        <v>54</v>
      </c>
      <c r="M554" t="str">
        <f t="shared" si="8"/>
        <v>Middle Age</v>
      </c>
      <c r="N554" t="s">
        <v>15</v>
      </c>
    </row>
    <row r="555" spans="1:14" x14ac:dyDescent="0.3">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1">
        <v>60000</v>
      </c>
      <c r="E561">
        <v>2</v>
      </c>
      <c r="F561" t="s">
        <v>13</v>
      </c>
      <c r="G561" t="s">
        <v>28</v>
      </c>
      <c r="H561" t="s">
        <v>15</v>
      </c>
      <c r="I561">
        <v>0</v>
      </c>
      <c r="J561" t="s">
        <v>40</v>
      </c>
      <c r="K561" t="s">
        <v>32</v>
      </c>
      <c r="L561">
        <v>58</v>
      </c>
      <c r="M561" t="str">
        <f t="shared" si="8"/>
        <v>Old</v>
      </c>
      <c r="N561" t="s">
        <v>18</v>
      </c>
    </row>
    <row r="562" spans="1:14" x14ac:dyDescent="0.3">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1">
        <v>50000</v>
      </c>
      <c r="E571">
        <v>3</v>
      </c>
      <c r="F571" t="s">
        <v>31</v>
      </c>
      <c r="G571" t="s">
        <v>28</v>
      </c>
      <c r="H571" t="s">
        <v>15</v>
      </c>
      <c r="I571">
        <v>2</v>
      </c>
      <c r="J571" t="s">
        <v>40</v>
      </c>
      <c r="K571" t="s">
        <v>32</v>
      </c>
      <c r="L571">
        <v>69</v>
      </c>
      <c r="M571" t="str">
        <f t="shared" si="8"/>
        <v>Old</v>
      </c>
      <c r="N571" t="s">
        <v>18</v>
      </c>
    </row>
    <row r="572" spans="1:14" x14ac:dyDescent="0.3">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1">
        <v>60000</v>
      </c>
      <c r="E577">
        <v>2</v>
      </c>
      <c r="F577" t="s">
        <v>19</v>
      </c>
      <c r="G577" t="s">
        <v>21</v>
      </c>
      <c r="H577" t="s">
        <v>15</v>
      </c>
      <c r="I577">
        <v>1</v>
      </c>
      <c r="J577" t="s">
        <v>40</v>
      </c>
      <c r="K577" t="s">
        <v>32</v>
      </c>
      <c r="L577">
        <v>56</v>
      </c>
      <c r="M577" t="str">
        <f t="shared" si="8"/>
        <v>Old</v>
      </c>
      <c r="N577" t="s">
        <v>18</v>
      </c>
    </row>
    <row r="578" spans="1:14" x14ac:dyDescent="0.3">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1">
        <v>120000</v>
      </c>
      <c r="E579">
        <v>1</v>
      </c>
      <c r="F579" t="s">
        <v>13</v>
      </c>
      <c r="G579" t="s">
        <v>28</v>
      </c>
      <c r="H579" t="s">
        <v>15</v>
      </c>
      <c r="I579">
        <v>4</v>
      </c>
      <c r="J579" t="s">
        <v>16</v>
      </c>
      <c r="K579" t="s">
        <v>32</v>
      </c>
      <c r="L579">
        <v>38</v>
      </c>
      <c r="M579" t="str">
        <f t="shared" ref="M579:M642" si="9">IF(L579&gt;54, "Old",IF(L579&gt;=31,"Middle Age",IF(L579&lt;31,"Adolescent","Invalid")))</f>
        <v>Middle Age</v>
      </c>
      <c r="N579" t="s">
        <v>18</v>
      </c>
    </row>
    <row r="580" spans="1:14" x14ac:dyDescent="0.3">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1">
        <v>60000</v>
      </c>
      <c r="E582">
        <v>3</v>
      </c>
      <c r="F582" t="s">
        <v>31</v>
      </c>
      <c r="G582" t="s">
        <v>28</v>
      </c>
      <c r="H582" t="s">
        <v>15</v>
      </c>
      <c r="I582">
        <v>2</v>
      </c>
      <c r="J582" t="s">
        <v>40</v>
      </c>
      <c r="K582" t="s">
        <v>32</v>
      </c>
      <c r="L582">
        <v>69</v>
      </c>
      <c r="M582" t="str">
        <f t="shared" si="9"/>
        <v>Old</v>
      </c>
      <c r="N582" t="s">
        <v>18</v>
      </c>
    </row>
    <row r="583" spans="1:14" x14ac:dyDescent="0.3">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1">
        <v>60000</v>
      </c>
      <c r="E585">
        <v>3</v>
      </c>
      <c r="F585" t="s">
        <v>13</v>
      </c>
      <c r="G585" t="s">
        <v>28</v>
      </c>
      <c r="H585" t="s">
        <v>15</v>
      </c>
      <c r="I585">
        <v>2</v>
      </c>
      <c r="J585" t="s">
        <v>40</v>
      </c>
      <c r="K585" t="s">
        <v>32</v>
      </c>
      <c r="L585">
        <v>66</v>
      </c>
      <c r="M585" t="str">
        <f t="shared" si="9"/>
        <v>Old</v>
      </c>
      <c r="N585" t="s">
        <v>18</v>
      </c>
    </row>
    <row r="586" spans="1:14" x14ac:dyDescent="0.3">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1">
        <v>90000</v>
      </c>
      <c r="E590">
        <v>2</v>
      </c>
      <c r="F590" t="s">
        <v>27</v>
      </c>
      <c r="G590" t="s">
        <v>21</v>
      </c>
      <c r="H590" t="s">
        <v>15</v>
      </c>
      <c r="I590">
        <v>1</v>
      </c>
      <c r="J590" t="s">
        <v>40</v>
      </c>
      <c r="K590" t="s">
        <v>32</v>
      </c>
      <c r="L590">
        <v>51</v>
      </c>
      <c r="M590" t="str">
        <f t="shared" si="9"/>
        <v>Middle Age</v>
      </c>
      <c r="N590" t="s">
        <v>15</v>
      </c>
    </row>
    <row r="591" spans="1:14" x14ac:dyDescent="0.3">
      <c r="A591">
        <v>12100</v>
      </c>
      <c r="B591" t="s">
        <v>37</v>
      </c>
      <c r="C591" t="s">
        <v>39</v>
      </c>
      <c r="D591" s="1">
        <v>60000</v>
      </c>
      <c r="E591">
        <v>2</v>
      </c>
      <c r="F591" t="s">
        <v>13</v>
      </c>
      <c r="G591" t="s">
        <v>28</v>
      </c>
      <c r="H591" t="s">
        <v>15</v>
      </c>
      <c r="I591">
        <v>0</v>
      </c>
      <c r="J591" t="s">
        <v>40</v>
      </c>
      <c r="K591" t="s">
        <v>32</v>
      </c>
      <c r="L591">
        <v>57</v>
      </c>
      <c r="M591" t="str">
        <f t="shared" si="9"/>
        <v>Old</v>
      </c>
      <c r="N591" t="s">
        <v>18</v>
      </c>
    </row>
    <row r="592" spans="1:14" x14ac:dyDescent="0.3">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1">
        <v>40000</v>
      </c>
      <c r="E593">
        <v>4</v>
      </c>
      <c r="F593" t="s">
        <v>27</v>
      </c>
      <c r="G593" t="s">
        <v>21</v>
      </c>
      <c r="H593" t="s">
        <v>18</v>
      </c>
      <c r="I593">
        <v>2</v>
      </c>
      <c r="J593" t="s">
        <v>40</v>
      </c>
      <c r="K593" t="s">
        <v>32</v>
      </c>
      <c r="L593">
        <v>61</v>
      </c>
      <c r="M593" t="str">
        <f t="shared" si="9"/>
        <v>Old</v>
      </c>
      <c r="N593" t="s">
        <v>15</v>
      </c>
    </row>
    <row r="594" spans="1:14" x14ac:dyDescent="0.3">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1">
        <v>70000</v>
      </c>
      <c r="E609">
        <v>5</v>
      </c>
      <c r="F609" t="s">
        <v>31</v>
      </c>
      <c r="G609" t="s">
        <v>21</v>
      </c>
      <c r="H609" t="s">
        <v>15</v>
      </c>
      <c r="I609">
        <v>3</v>
      </c>
      <c r="J609" t="s">
        <v>40</v>
      </c>
      <c r="K609" t="s">
        <v>32</v>
      </c>
      <c r="L609">
        <v>46</v>
      </c>
      <c r="M609" t="str">
        <f t="shared" si="9"/>
        <v>Middle Age</v>
      </c>
      <c r="N609" t="s">
        <v>15</v>
      </c>
    </row>
    <row r="610" spans="1:14" x14ac:dyDescent="0.3">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1">
        <v>50000</v>
      </c>
      <c r="E643">
        <v>4</v>
      </c>
      <c r="F643" t="s">
        <v>13</v>
      </c>
      <c r="G643" t="s">
        <v>28</v>
      </c>
      <c r="H643" t="s">
        <v>15</v>
      </c>
      <c r="I643">
        <v>2</v>
      </c>
      <c r="J643" t="s">
        <v>40</v>
      </c>
      <c r="K643" t="s">
        <v>32</v>
      </c>
      <c r="L643">
        <v>64</v>
      </c>
      <c r="M643" t="str">
        <f t="shared" ref="M643:M706" si="10">IF(L643&gt;54, "Old",IF(L643&gt;=31,"Middle Age",IF(L643&lt;31,"Adolescent","Invalid")))</f>
        <v>Old</v>
      </c>
      <c r="N643" t="s">
        <v>18</v>
      </c>
    </row>
    <row r="644" spans="1:14" x14ac:dyDescent="0.3">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1">
        <v>60000</v>
      </c>
      <c r="E646">
        <v>5</v>
      </c>
      <c r="F646" t="s">
        <v>13</v>
      </c>
      <c r="G646" t="s">
        <v>14</v>
      </c>
      <c r="H646" t="s">
        <v>15</v>
      </c>
      <c r="I646">
        <v>3</v>
      </c>
      <c r="J646" t="s">
        <v>40</v>
      </c>
      <c r="K646" t="s">
        <v>32</v>
      </c>
      <c r="L646">
        <v>41</v>
      </c>
      <c r="M646" t="str">
        <f t="shared" si="10"/>
        <v>Middle Age</v>
      </c>
      <c r="N646" t="s">
        <v>18</v>
      </c>
    </row>
    <row r="647" spans="1:14" x14ac:dyDescent="0.3">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1">
        <v>70000</v>
      </c>
      <c r="E652">
        <v>5</v>
      </c>
      <c r="F652" t="s">
        <v>31</v>
      </c>
      <c r="G652" t="s">
        <v>28</v>
      </c>
      <c r="H652" t="s">
        <v>15</v>
      </c>
      <c r="I652">
        <v>2</v>
      </c>
      <c r="J652" t="s">
        <v>40</v>
      </c>
      <c r="K652" t="s">
        <v>32</v>
      </c>
      <c r="L652">
        <v>67</v>
      </c>
      <c r="M652" t="str">
        <f t="shared" si="10"/>
        <v>Old</v>
      </c>
      <c r="N652" t="s">
        <v>15</v>
      </c>
    </row>
    <row r="653" spans="1:14" x14ac:dyDescent="0.3">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1">
        <v>60000</v>
      </c>
      <c r="E661">
        <v>4</v>
      </c>
      <c r="F661" t="s">
        <v>13</v>
      </c>
      <c r="G661" t="s">
        <v>28</v>
      </c>
      <c r="H661" t="s">
        <v>15</v>
      </c>
      <c r="I661">
        <v>2</v>
      </c>
      <c r="J661" t="s">
        <v>40</v>
      </c>
      <c r="K661" t="s">
        <v>32</v>
      </c>
      <c r="L661">
        <v>63</v>
      </c>
      <c r="M661" t="str">
        <f t="shared" si="10"/>
        <v>Old</v>
      </c>
      <c r="N661" t="s">
        <v>18</v>
      </c>
    </row>
    <row r="662" spans="1:14" x14ac:dyDescent="0.3">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1">
        <v>40000</v>
      </c>
      <c r="E669">
        <v>5</v>
      </c>
      <c r="F669" t="s">
        <v>27</v>
      </c>
      <c r="G669" t="s">
        <v>21</v>
      </c>
      <c r="H669" t="s">
        <v>18</v>
      </c>
      <c r="I669">
        <v>2</v>
      </c>
      <c r="J669" t="s">
        <v>40</v>
      </c>
      <c r="K669" t="s">
        <v>32</v>
      </c>
      <c r="L669">
        <v>61</v>
      </c>
      <c r="M669" t="str">
        <f t="shared" si="10"/>
        <v>Old</v>
      </c>
      <c r="N669" t="s">
        <v>18</v>
      </c>
    </row>
    <row r="670" spans="1:14" x14ac:dyDescent="0.3">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1">
        <v>70000</v>
      </c>
      <c r="E672">
        <v>2</v>
      </c>
      <c r="F672" t="s">
        <v>19</v>
      </c>
      <c r="G672" t="s">
        <v>21</v>
      </c>
      <c r="H672" t="s">
        <v>15</v>
      </c>
      <c r="I672">
        <v>1</v>
      </c>
      <c r="J672" t="s">
        <v>40</v>
      </c>
      <c r="K672" t="s">
        <v>32</v>
      </c>
      <c r="L672">
        <v>59</v>
      </c>
      <c r="M672" t="str">
        <f t="shared" si="10"/>
        <v>Old</v>
      </c>
      <c r="N672" t="s">
        <v>18</v>
      </c>
    </row>
    <row r="673" spans="1:14" x14ac:dyDescent="0.3">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1">
        <v>60000</v>
      </c>
      <c r="E681">
        <v>4</v>
      </c>
      <c r="F681" t="s">
        <v>13</v>
      </c>
      <c r="G681" t="s">
        <v>28</v>
      </c>
      <c r="H681" t="s">
        <v>15</v>
      </c>
      <c r="I681">
        <v>2</v>
      </c>
      <c r="J681" t="s">
        <v>40</v>
      </c>
      <c r="K681" t="s">
        <v>32</v>
      </c>
      <c r="L681">
        <v>60</v>
      </c>
      <c r="M681" t="str">
        <f t="shared" si="10"/>
        <v>Old</v>
      </c>
      <c r="N681" t="s">
        <v>18</v>
      </c>
    </row>
    <row r="682" spans="1:14" x14ac:dyDescent="0.3">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1">
        <v>70000</v>
      </c>
      <c r="E707">
        <v>4</v>
      </c>
      <c r="F707" t="s">
        <v>13</v>
      </c>
      <c r="G707" t="s">
        <v>28</v>
      </c>
      <c r="H707" t="s">
        <v>15</v>
      </c>
      <c r="I707">
        <v>1</v>
      </c>
      <c r="J707" t="s">
        <v>40</v>
      </c>
      <c r="K707" t="s">
        <v>32</v>
      </c>
      <c r="L707">
        <v>59</v>
      </c>
      <c r="M707" t="str">
        <f t="shared" ref="M707:M770" si="11">IF(L707&gt;54, "Old",IF(L707&gt;=31,"Middle Age",IF(L707&lt;31,"Adolescent","Invalid")))</f>
        <v>Old</v>
      </c>
      <c r="N707" t="s">
        <v>18</v>
      </c>
    </row>
    <row r="708" spans="1:14" x14ac:dyDescent="0.3">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1">
        <v>70000</v>
      </c>
      <c r="E710">
        <v>5</v>
      </c>
      <c r="F710" t="s">
        <v>13</v>
      </c>
      <c r="G710" t="s">
        <v>28</v>
      </c>
      <c r="H710" t="s">
        <v>15</v>
      </c>
      <c r="I710">
        <v>4</v>
      </c>
      <c r="J710" t="s">
        <v>40</v>
      </c>
      <c r="K710" t="s">
        <v>32</v>
      </c>
      <c r="L710">
        <v>60</v>
      </c>
      <c r="M710" t="str">
        <f t="shared" si="11"/>
        <v>Old</v>
      </c>
      <c r="N710" t="s">
        <v>18</v>
      </c>
    </row>
    <row r="711" spans="1:14" x14ac:dyDescent="0.3">
      <c r="A711">
        <v>23712</v>
      </c>
      <c r="B711" t="s">
        <v>37</v>
      </c>
      <c r="C711" t="s">
        <v>38</v>
      </c>
      <c r="D711" s="1">
        <v>70000</v>
      </c>
      <c r="E711">
        <v>2</v>
      </c>
      <c r="F711" t="s">
        <v>13</v>
      </c>
      <c r="G711" t="s">
        <v>28</v>
      </c>
      <c r="H711" t="s">
        <v>15</v>
      </c>
      <c r="I711">
        <v>1</v>
      </c>
      <c r="J711" t="s">
        <v>40</v>
      </c>
      <c r="K711" t="s">
        <v>32</v>
      </c>
      <c r="L711">
        <v>59</v>
      </c>
      <c r="M711" t="str">
        <f t="shared" si="11"/>
        <v>Old</v>
      </c>
      <c r="N711" t="s">
        <v>18</v>
      </c>
    </row>
    <row r="712" spans="1:14" x14ac:dyDescent="0.3">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1">
        <v>70000</v>
      </c>
      <c r="E713">
        <v>2</v>
      </c>
      <c r="F713" t="s">
        <v>19</v>
      </c>
      <c r="G713" t="s">
        <v>21</v>
      </c>
      <c r="H713" t="s">
        <v>15</v>
      </c>
      <c r="I713">
        <v>1</v>
      </c>
      <c r="J713" t="s">
        <v>40</v>
      </c>
      <c r="K713" t="s">
        <v>32</v>
      </c>
      <c r="L713">
        <v>58</v>
      </c>
      <c r="M713" t="str">
        <f t="shared" si="11"/>
        <v>Old</v>
      </c>
      <c r="N713" t="s">
        <v>18</v>
      </c>
    </row>
    <row r="714" spans="1:14" x14ac:dyDescent="0.3">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1">
        <v>60000</v>
      </c>
      <c r="E741">
        <v>2</v>
      </c>
      <c r="F741" t="s">
        <v>19</v>
      </c>
      <c r="G741" t="s">
        <v>21</v>
      </c>
      <c r="H741" t="s">
        <v>15</v>
      </c>
      <c r="I741">
        <v>1</v>
      </c>
      <c r="J741" t="s">
        <v>40</v>
      </c>
      <c r="K741" t="s">
        <v>32</v>
      </c>
      <c r="L741">
        <v>55</v>
      </c>
      <c r="M741" t="str">
        <f t="shared" si="11"/>
        <v>Old</v>
      </c>
      <c r="N741" t="s">
        <v>18</v>
      </c>
    </row>
    <row r="742" spans="1:14" x14ac:dyDescent="0.3">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1">
        <v>70000</v>
      </c>
      <c r="E746">
        <v>4</v>
      </c>
      <c r="F746" t="s">
        <v>19</v>
      </c>
      <c r="G746" t="s">
        <v>21</v>
      </c>
      <c r="H746" t="s">
        <v>15</v>
      </c>
      <c r="I746">
        <v>1</v>
      </c>
      <c r="J746" t="s">
        <v>40</v>
      </c>
      <c r="K746" t="s">
        <v>32</v>
      </c>
      <c r="L746">
        <v>56</v>
      </c>
      <c r="M746" t="str">
        <f t="shared" si="11"/>
        <v>Old</v>
      </c>
      <c r="N746" t="s">
        <v>18</v>
      </c>
    </row>
    <row r="747" spans="1:14" x14ac:dyDescent="0.3">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1">
        <v>60000</v>
      </c>
      <c r="E748">
        <v>2</v>
      </c>
      <c r="F748" t="s">
        <v>13</v>
      </c>
      <c r="G748" t="s">
        <v>28</v>
      </c>
      <c r="H748" t="s">
        <v>15</v>
      </c>
      <c r="I748">
        <v>0</v>
      </c>
      <c r="J748" t="s">
        <v>40</v>
      </c>
      <c r="K748" t="s">
        <v>32</v>
      </c>
      <c r="L748">
        <v>56</v>
      </c>
      <c r="M748" t="str">
        <f t="shared" si="11"/>
        <v>Old</v>
      </c>
      <c r="N748" t="s">
        <v>18</v>
      </c>
    </row>
    <row r="749" spans="1:14" x14ac:dyDescent="0.3">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1">
        <v>60000</v>
      </c>
      <c r="E763">
        <v>5</v>
      </c>
      <c r="F763" t="s">
        <v>13</v>
      </c>
      <c r="G763" t="s">
        <v>28</v>
      </c>
      <c r="H763" t="s">
        <v>15</v>
      </c>
      <c r="I763">
        <v>3</v>
      </c>
      <c r="J763" t="s">
        <v>40</v>
      </c>
      <c r="K763" t="s">
        <v>32</v>
      </c>
      <c r="L763">
        <v>59</v>
      </c>
      <c r="M763" t="str">
        <f t="shared" si="11"/>
        <v>Old</v>
      </c>
      <c r="N763" t="s">
        <v>18</v>
      </c>
    </row>
    <row r="764" spans="1:14" x14ac:dyDescent="0.3">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1">
        <v>50000</v>
      </c>
      <c r="E768">
        <v>4</v>
      </c>
      <c r="F768" t="s">
        <v>13</v>
      </c>
      <c r="G768" t="s">
        <v>14</v>
      </c>
      <c r="H768" t="s">
        <v>15</v>
      </c>
      <c r="I768">
        <v>3</v>
      </c>
      <c r="J768" t="s">
        <v>40</v>
      </c>
      <c r="K768" t="s">
        <v>32</v>
      </c>
      <c r="L768">
        <v>42</v>
      </c>
      <c r="M768" t="str">
        <f t="shared" si="11"/>
        <v>Middle Age</v>
      </c>
      <c r="N768" t="s">
        <v>18</v>
      </c>
    </row>
    <row r="769" spans="1:14" x14ac:dyDescent="0.3">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1">
        <v>100000</v>
      </c>
      <c r="E771">
        <v>4</v>
      </c>
      <c r="F771" t="s">
        <v>13</v>
      </c>
      <c r="G771" t="s">
        <v>28</v>
      </c>
      <c r="H771" t="s">
        <v>15</v>
      </c>
      <c r="I771">
        <v>4</v>
      </c>
      <c r="J771" t="s">
        <v>16</v>
      </c>
      <c r="K771" t="s">
        <v>32</v>
      </c>
      <c r="L771">
        <v>40</v>
      </c>
      <c r="M771" t="str">
        <f t="shared" ref="M771:M834" si="12">IF(L771&gt;54, "Old",IF(L771&gt;=31,"Middle Age",IF(L771&lt;31,"Adolescent","Invalid")))</f>
        <v>Middle Age</v>
      </c>
      <c r="N771" t="s">
        <v>18</v>
      </c>
    </row>
    <row r="772" spans="1:14" x14ac:dyDescent="0.3">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1">
        <v>70000</v>
      </c>
      <c r="E777">
        <v>2</v>
      </c>
      <c r="F777" t="s">
        <v>29</v>
      </c>
      <c r="G777" t="s">
        <v>14</v>
      </c>
      <c r="H777" t="s">
        <v>15</v>
      </c>
      <c r="I777">
        <v>2</v>
      </c>
      <c r="J777" t="s">
        <v>40</v>
      </c>
      <c r="K777" t="s">
        <v>32</v>
      </c>
      <c r="L777">
        <v>54</v>
      </c>
      <c r="M777" t="str">
        <f t="shared" si="12"/>
        <v>Middle Age</v>
      </c>
      <c r="N777" t="s">
        <v>18</v>
      </c>
    </row>
    <row r="778" spans="1:14" x14ac:dyDescent="0.3">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1">
        <v>60000</v>
      </c>
      <c r="E782">
        <v>2</v>
      </c>
      <c r="F782" t="s">
        <v>19</v>
      </c>
      <c r="G782" t="s">
        <v>21</v>
      </c>
      <c r="H782" t="s">
        <v>15</v>
      </c>
      <c r="I782">
        <v>1</v>
      </c>
      <c r="J782" t="s">
        <v>40</v>
      </c>
      <c r="K782" t="s">
        <v>32</v>
      </c>
      <c r="L782">
        <v>55</v>
      </c>
      <c r="M782" t="str">
        <f t="shared" si="12"/>
        <v>Old</v>
      </c>
      <c r="N782" t="s">
        <v>18</v>
      </c>
    </row>
    <row r="783" spans="1:14" x14ac:dyDescent="0.3">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1">
        <v>70000</v>
      </c>
      <c r="E814">
        <v>4</v>
      </c>
      <c r="F814" t="s">
        <v>13</v>
      </c>
      <c r="G814" t="s">
        <v>28</v>
      </c>
      <c r="H814" t="s">
        <v>15</v>
      </c>
      <c r="I814">
        <v>2</v>
      </c>
      <c r="J814" t="s">
        <v>40</v>
      </c>
      <c r="K814" t="s">
        <v>32</v>
      </c>
      <c r="L814">
        <v>61</v>
      </c>
      <c r="M814" t="str">
        <f t="shared" si="12"/>
        <v>Old</v>
      </c>
      <c r="N814" t="s">
        <v>18</v>
      </c>
    </row>
    <row r="815" spans="1:14" x14ac:dyDescent="0.3">
      <c r="A815">
        <v>25899</v>
      </c>
      <c r="B815" t="s">
        <v>36</v>
      </c>
      <c r="C815" t="s">
        <v>38</v>
      </c>
      <c r="D815" s="1">
        <v>70000</v>
      </c>
      <c r="E815">
        <v>2</v>
      </c>
      <c r="F815" t="s">
        <v>27</v>
      </c>
      <c r="G815" t="s">
        <v>21</v>
      </c>
      <c r="H815" t="s">
        <v>15</v>
      </c>
      <c r="I815">
        <v>2</v>
      </c>
      <c r="J815" t="s">
        <v>40</v>
      </c>
      <c r="K815" t="s">
        <v>32</v>
      </c>
      <c r="L815">
        <v>53</v>
      </c>
      <c r="M815" t="str">
        <f t="shared" si="12"/>
        <v>Middle Age</v>
      </c>
      <c r="N815" t="s">
        <v>18</v>
      </c>
    </row>
    <row r="816" spans="1:14" x14ac:dyDescent="0.3">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1">
        <v>70000</v>
      </c>
      <c r="E835">
        <v>0</v>
      </c>
      <c r="F835" t="s">
        <v>13</v>
      </c>
      <c r="G835" t="s">
        <v>21</v>
      </c>
      <c r="H835" t="s">
        <v>18</v>
      </c>
      <c r="I835">
        <v>1</v>
      </c>
      <c r="J835" t="s">
        <v>16</v>
      </c>
      <c r="K835" t="s">
        <v>32</v>
      </c>
      <c r="L835">
        <v>37</v>
      </c>
      <c r="M835" t="str">
        <f t="shared" ref="M835:M898" si="13">IF(L835&gt;54, "Old",IF(L835&gt;=31,"Middle Age",IF(L835&lt;31,"Adolescent","Invalid")))</f>
        <v>Middle Age</v>
      </c>
      <c r="N835" t="s">
        <v>15</v>
      </c>
    </row>
    <row r="836" spans="1:14" x14ac:dyDescent="0.3">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1">
        <v>70000</v>
      </c>
      <c r="E842">
        <v>4</v>
      </c>
      <c r="F842" t="s">
        <v>19</v>
      </c>
      <c r="G842" t="s">
        <v>21</v>
      </c>
      <c r="H842" t="s">
        <v>15</v>
      </c>
      <c r="I842">
        <v>2</v>
      </c>
      <c r="J842" t="s">
        <v>40</v>
      </c>
      <c r="K842" t="s">
        <v>32</v>
      </c>
      <c r="L842">
        <v>53</v>
      </c>
      <c r="M842" t="str">
        <f t="shared" si="13"/>
        <v>Middle Age</v>
      </c>
      <c r="N842" t="s">
        <v>18</v>
      </c>
    </row>
    <row r="843" spans="1:14" x14ac:dyDescent="0.3">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1">
        <v>40000</v>
      </c>
      <c r="E846">
        <v>5</v>
      </c>
      <c r="F846" t="s">
        <v>27</v>
      </c>
      <c r="G846" t="s">
        <v>21</v>
      </c>
      <c r="H846" t="s">
        <v>15</v>
      </c>
      <c r="I846">
        <v>2</v>
      </c>
      <c r="J846" t="s">
        <v>40</v>
      </c>
      <c r="K846" t="s">
        <v>32</v>
      </c>
      <c r="L846">
        <v>60</v>
      </c>
      <c r="M846" t="str">
        <f t="shared" si="13"/>
        <v>Old</v>
      </c>
      <c r="N846" t="s">
        <v>18</v>
      </c>
    </row>
    <row r="847" spans="1:14" x14ac:dyDescent="0.3">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1">
        <v>60000</v>
      </c>
      <c r="E868">
        <v>2</v>
      </c>
      <c r="F868" t="s">
        <v>27</v>
      </c>
      <c r="G868" t="s">
        <v>21</v>
      </c>
      <c r="H868" t="s">
        <v>15</v>
      </c>
      <c r="I868">
        <v>2</v>
      </c>
      <c r="J868" t="s">
        <v>40</v>
      </c>
      <c r="K868" t="s">
        <v>32</v>
      </c>
      <c r="L868">
        <v>55</v>
      </c>
      <c r="M868" t="str">
        <f t="shared" si="13"/>
        <v>Old</v>
      </c>
      <c r="N868" t="s">
        <v>18</v>
      </c>
    </row>
    <row r="869" spans="1:14" x14ac:dyDescent="0.3">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1">
        <v>30000</v>
      </c>
      <c r="E870">
        <v>5</v>
      </c>
      <c r="F870" t="s">
        <v>29</v>
      </c>
      <c r="G870" t="s">
        <v>14</v>
      </c>
      <c r="H870" t="s">
        <v>15</v>
      </c>
      <c r="I870">
        <v>3</v>
      </c>
      <c r="J870" t="s">
        <v>40</v>
      </c>
      <c r="K870" t="s">
        <v>32</v>
      </c>
      <c r="L870">
        <v>60</v>
      </c>
      <c r="M870" t="str">
        <f t="shared" si="13"/>
        <v>Old</v>
      </c>
      <c r="N870" t="s">
        <v>15</v>
      </c>
    </row>
    <row r="871" spans="1:14" x14ac:dyDescent="0.3">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1">
        <v>60000</v>
      </c>
      <c r="E873">
        <v>2</v>
      </c>
      <c r="F873" t="s">
        <v>27</v>
      </c>
      <c r="G873" t="s">
        <v>21</v>
      </c>
      <c r="H873" t="s">
        <v>15</v>
      </c>
      <c r="I873">
        <v>2</v>
      </c>
      <c r="J873" t="s">
        <v>40</v>
      </c>
      <c r="K873" t="s">
        <v>32</v>
      </c>
      <c r="L873">
        <v>55</v>
      </c>
      <c r="M873" t="str">
        <f t="shared" si="13"/>
        <v>Old</v>
      </c>
      <c r="N873" t="s">
        <v>18</v>
      </c>
    </row>
    <row r="874" spans="1:14" x14ac:dyDescent="0.3">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1">
        <v>30000</v>
      </c>
      <c r="E899">
        <v>0</v>
      </c>
      <c r="F899" t="s">
        <v>29</v>
      </c>
      <c r="G899" t="s">
        <v>20</v>
      </c>
      <c r="H899" t="s">
        <v>18</v>
      </c>
      <c r="I899">
        <v>2</v>
      </c>
      <c r="J899" t="s">
        <v>16</v>
      </c>
      <c r="K899" t="s">
        <v>32</v>
      </c>
      <c r="L899">
        <v>28</v>
      </c>
      <c r="M899" t="str">
        <f t="shared" ref="M899:M962" si="14">IF(L899&gt;54, "Old",IF(L899&gt;=31,"Middle Age",IF(L899&lt;31,"Adolescent","Invalid")))</f>
        <v>Adolescent</v>
      </c>
      <c r="N899" t="s">
        <v>18</v>
      </c>
    </row>
    <row r="900" spans="1:14" x14ac:dyDescent="0.3">
      <c r="A900">
        <v>18066</v>
      </c>
      <c r="B900" t="s">
        <v>37</v>
      </c>
      <c r="C900" t="s">
        <v>39</v>
      </c>
      <c r="D900" s="1">
        <v>70000</v>
      </c>
      <c r="E900">
        <v>5</v>
      </c>
      <c r="F900" t="s">
        <v>13</v>
      </c>
      <c r="G900" t="s">
        <v>28</v>
      </c>
      <c r="H900" t="s">
        <v>15</v>
      </c>
      <c r="I900">
        <v>3</v>
      </c>
      <c r="J900" t="s">
        <v>40</v>
      </c>
      <c r="K900" t="s">
        <v>32</v>
      </c>
      <c r="L900">
        <v>60</v>
      </c>
      <c r="M900" t="str">
        <f t="shared" si="14"/>
        <v>Old</v>
      </c>
      <c r="N900" t="s">
        <v>15</v>
      </c>
    </row>
    <row r="901" spans="1:14" x14ac:dyDescent="0.3">
      <c r="A901">
        <v>28192</v>
      </c>
      <c r="B901" t="s">
        <v>36</v>
      </c>
      <c r="C901" t="s">
        <v>38</v>
      </c>
      <c r="D901" s="1">
        <v>70000</v>
      </c>
      <c r="E901">
        <v>5</v>
      </c>
      <c r="F901" t="s">
        <v>31</v>
      </c>
      <c r="G901" t="s">
        <v>21</v>
      </c>
      <c r="H901" t="s">
        <v>15</v>
      </c>
      <c r="I901">
        <v>3</v>
      </c>
      <c r="J901" t="s">
        <v>40</v>
      </c>
      <c r="K901" t="s">
        <v>32</v>
      </c>
      <c r="L901">
        <v>46</v>
      </c>
      <c r="M901" t="str">
        <f t="shared" si="14"/>
        <v>Middle Age</v>
      </c>
      <c r="N901" t="s">
        <v>18</v>
      </c>
    </row>
    <row r="902" spans="1:14" x14ac:dyDescent="0.3">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1">
        <v>50000</v>
      </c>
      <c r="E909">
        <v>4</v>
      </c>
      <c r="F909" t="s">
        <v>13</v>
      </c>
      <c r="G909" t="s">
        <v>28</v>
      </c>
      <c r="H909" t="s">
        <v>15</v>
      </c>
      <c r="I909">
        <v>2</v>
      </c>
      <c r="J909" t="s">
        <v>40</v>
      </c>
      <c r="K909" t="s">
        <v>32</v>
      </c>
      <c r="L909">
        <v>63</v>
      </c>
      <c r="M909" t="str">
        <f t="shared" si="14"/>
        <v>Old</v>
      </c>
      <c r="N909" t="s">
        <v>18</v>
      </c>
    </row>
    <row r="910" spans="1:14" x14ac:dyDescent="0.3">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1">
        <v>60000</v>
      </c>
      <c r="E917">
        <v>3</v>
      </c>
      <c r="F917" t="s">
        <v>31</v>
      </c>
      <c r="G917" t="s">
        <v>28</v>
      </c>
      <c r="H917" t="s">
        <v>15</v>
      </c>
      <c r="I917">
        <v>2</v>
      </c>
      <c r="J917" t="s">
        <v>40</v>
      </c>
      <c r="K917" t="s">
        <v>32</v>
      </c>
      <c r="L917">
        <v>64</v>
      </c>
      <c r="M917" t="str">
        <f t="shared" si="14"/>
        <v>Old</v>
      </c>
      <c r="N917" t="s">
        <v>18</v>
      </c>
    </row>
    <row r="918" spans="1:14" x14ac:dyDescent="0.3">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1">
        <v>40000</v>
      </c>
      <c r="E921">
        <v>4</v>
      </c>
      <c r="F921" t="s">
        <v>27</v>
      </c>
      <c r="G921" t="s">
        <v>21</v>
      </c>
      <c r="H921" t="s">
        <v>15</v>
      </c>
      <c r="I921">
        <v>2</v>
      </c>
      <c r="J921" t="s">
        <v>40</v>
      </c>
      <c r="K921" t="s">
        <v>32</v>
      </c>
      <c r="L921">
        <v>61</v>
      </c>
      <c r="M921" t="str">
        <f t="shared" si="14"/>
        <v>Old</v>
      </c>
      <c r="N921" t="s">
        <v>18</v>
      </c>
    </row>
    <row r="922" spans="1:14" x14ac:dyDescent="0.3">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1">
        <v>40000</v>
      </c>
      <c r="E928">
        <v>2</v>
      </c>
      <c r="F928" t="s">
        <v>27</v>
      </c>
      <c r="G928" t="s">
        <v>21</v>
      </c>
      <c r="H928" t="s">
        <v>15</v>
      </c>
      <c r="I928">
        <v>2</v>
      </c>
      <c r="J928" t="s">
        <v>40</v>
      </c>
      <c r="K928" t="s">
        <v>32</v>
      </c>
      <c r="L928">
        <v>57</v>
      </c>
      <c r="M928" t="str">
        <f t="shared" si="14"/>
        <v>Old</v>
      </c>
      <c r="N928" t="s">
        <v>18</v>
      </c>
    </row>
    <row r="929" spans="1:14" x14ac:dyDescent="0.3">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1">
        <v>70000</v>
      </c>
      <c r="E932">
        <v>5</v>
      </c>
      <c r="F932" t="s">
        <v>31</v>
      </c>
      <c r="G932" t="s">
        <v>21</v>
      </c>
      <c r="H932" t="s">
        <v>18</v>
      </c>
      <c r="I932">
        <v>3</v>
      </c>
      <c r="J932" t="s">
        <v>40</v>
      </c>
      <c r="K932" t="s">
        <v>32</v>
      </c>
      <c r="L932">
        <v>47</v>
      </c>
      <c r="M932" t="str">
        <f t="shared" si="14"/>
        <v>Middle Age</v>
      </c>
      <c r="N932" t="s">
        <v>18</v>
      </c>
    </row>
    <row r="933" spans="1:14" x14ac:dyDescent="0.3">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1">
        <v>70000</v>
      </c>
      <c r="E951">
        <v>2</v>
      </c>
      <c r="F951" t="s">
        <v>29</v>
      </c>
      <c r="G951" t="s">
        <v>14</v>
      </c>
      <c r="H951" t="s">
        <v>15</v>
      </c>
      <c r="I951">
        <v>2</v>
      </c>
      <c r="J951" t="s">
        <v>40</v>
      </c>
      <c r="K951" t="s">
        <v>32</v>
      </c>
      <c r="L951">
        <v>53</v>
      </c>
      <c r="M951" t="str">
        <f t="shared" si="14"/>
        <v>Middle Age</v>
      </c>
      <c r="N951" t="s">
        <v>18</v>
      </c>
    </row>
    <row r="952" spans="1:14" x14ac:dyDescent="0.3">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1">
        <v>120000</v>
      </c>
      <c r="E963">
        <v>2</v>
      </c>
      <c r="F963" t="s">
        <v>13</v>
      </c>
      <c r="G963" t="s">
        <v>28</v>
      </c>
      <c r="H963" t="s">
        <v>15</v>
      </c>
      <c r="I963">
        <v>3</v>
      </c>
      <c r="J963" t="s">
        <v>23</v>
      </c>
      <c r="K963" t="s">
        <v>32</v>
      </c>
      <c r="L963">
        <v>62</v>
      </c>
      <c r="M963" t="str">
        <f t="shared" ref="M963:M1001" si="15">IF(L963&gt;54, "Old",IF(L963&gt;=31,"Middle Age",IF(L963&lt;31,"Adolescent","Invalid")))</f>
        <v>Old</v>
      </c>
      <c r="N963" t="s">
        <v>18</v>
      </c>
    </row>
    <row r="964" spans="1:14" x14ac:dyDescent="0.3">
      <c r="A964">
        <v>16813</v>
      </c>
      <c r="B964" t="s">
        <v>36</v>
      </c>
      <c r="C964" t="s">
        <v>39</v>
      </c>
      <c r="D964" s="1">
        <v>60000</v>
      </c>
      <c r="E964">
        <v>2</v>
      </c>
      <c r="F964" t="s">
        <v>19</v>
      </c>
      <c r="G964" t="s">
        <v>21</v>
      </c>
      <c r="H964" t="s">
        <v>15</v>
      </c>
      <c r="I964">
        <v>2</v>
      </c>
      <c r="J964" t="s">
        <v>40</v>
      </c>
      <c r="K964" t="s">
        <v>32</v>
      </c>
      <c r="L964">
        <v>55</v>
      </c>
      <c r="M964" t="str">
        <f t="shared" si="15"/>
        <v>Old</v>
      </c>
      <c r="N964" t="s">
        <v>18</v>
      </c>
    </row>
    <row r="965" spans="1:14" x14ac:dyDescent="0.3">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1">
        <v>70000</v>
      </c>
      <c r="E966">
        <v>4</v>
      </c>
      <c r="F966" t="s">
        <v>19</v>
      </c>
      <c r="G966" t="s">
        <v>21</v>
      </c>
      <c r="H966" t="s">
        <v>15</v>
      </c>
      <c r="I966">
        <v>1</v>
      </c>
      <c r="J966" t="s">
        <v>40</v>
      </c>
      <c r="K966" t="s">
        <v>32</v>
      </c>
      <c r="L966">
        <v>56</v>
      </c>
      <c r="M966" t="str">
        <f t="shared" si="15"/>
        <v>Old</v>
      </c>
      <c r="N966" t="s">
        <v>18</v>
      </c>
    </row>
    <row r="967" spans="1:14" x14ac:dyDescent="0.3">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1">
        <v>60000</v>
      </c>
      <c r="E978">
        <v>3</v>
      </c>
      <c r="F978" t="s">
        <v>13</v>
      </c>
      <c r="G978" t="s">
        <v>28</v>
      </c>
      <c r="H978" t="s">
        <v>15</v>
      </c>
      <c r="I978">
        <v>2</v>
      </c>
      <c r="J978" t="s">
        <v>40</v>
      </c>
      <c r="K978" t="s">
        <v>32</v>
      </c>
      <c r="L978">
        <v>66</v>
      </c>
      <c r="M978" t="str">
        <f t="shared" si="15"/>
        <v>Old</v>
      </c>
      <c r="N978" t="s">
        <v>18</v>
      </c>
    </row>
    <row r="979" spans="1:14" x14ac:dyDescent="0.3">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1">
        <v>80000</v>
      </c>
      <c r="E982">
        <v>3</v>
      </c>
      <c r="F982" t="s">
        <v>13</v>
      </c>
      <c r="G982" t="s">
        <v>14</v>
      </c>
      <c r="H982" t="s">
        <v>15</v>
      </c>
      <c r="I982">
        <v>3</v>
      </c>
      <c r="J982" t="s">
        <v>40</v>
      </c>
      <c r="K982" t="s">
        <v>32</v>
      </c>
      <c r="L982">
        <v>40</v>
      </c>
      <c r="M982" t="str">
        <f t="shared" si="15"/>
        <v>Middle Age</v>
      </c>
      <c r="N982" t="s">
        <v>15</v>
      </c>
    </row>
    <row r="983" spans="1:14" x14ac:dyDescent="0.3">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1">
        <v>40000</v>
      </c>
      <c r="E988">
        <v>5</v>
      </c>
      <c r="F988" t="s">
        <v>27</v>
      </c>
      <c r="G988" t="s">
        <v>21</v>
      </c>
      <c r="H988" t="s">
        <v>15</v>
      </c>
      <c r="I988">
        <v>4</v>
      </c>
      <c r="J988" t="s">
        <v>40</v>
      </c>
      <c r="K988" t="s">
        <v>32</v>
      </c>
      <c r="L988">
        <v>60</v>
      </c>
      <c r="M988" t="str">
        <f t="shared" si="15"/>
        <v>Old</v>
      </c>
      <c r="N988" t="s">
        <v>15</v>
      </c>
    </row>
    <row r="989" spans="1:14" x14ac:dyDescent="0.3">
      <c r="A989">
        <v>28972</v>
      </c>
      <c r="B989" t="s">
        <v>37</v>
      </c>
      <c r="C989" t="s">
        <v>38</v>
      </c>
      <c r="D989" s="1">
        <v>60000</v>
      </c>
      <c r="E989">
        <v>3</v>
      </c>
      <c r="F989" t="s">
        <v>31</v>
      </c>
      <c r="G989" t="s">
        <v>28</v>
      </c>
      <c r="H989" t="s">
        <v>15</v>
      </c>
      <c r="I989">
        <v>2</v>
      </c>
      <c r="J989" t="s">
        <v>40</v>
      </c>
      <c r="K989" t="s">
        <v>32</v>
      </c>
      <c r="L989">
        <v>66</v>
      </c>
      <c r="M989" t="str">
        <f t="shared" si="15"/>
        <v>Old</v>
      </c>
      <c r="N989" t="s">
        <v>18</v>
      </c>
    </row>
    <row r="990" spans="1:14" x14ac:dyDescent="0.3">
      <c r="A990">
        <v>22730</v>
      </c>
      <c r="B990" t="s">
        <v>36</v>
      </c>
      <c r="C990" t="s">
        <v>39</v>
      </c>
      <c r="D990" s="1">
        <v>70000</v>
      </c>
      <c r="E990">
        <v>5</v>
      </c>
      <c r="F990" t="s">
        <v>13</v>
      </c>
      <c r="G990" t="s">
        <v>28</v>
      </c>
      <c r="H990" t="s">
        <v>15</v>
      </c>
      <c r="I990">
        <v>2</v>
      </c>
      <c r="J990" t="s">
        <v>40</v>
      </c>
      <c r="K990" t="s">
        <v>32</v>
      </c>
      <c r="L990">
        <v>63</v>
      </c>
      <c r="M990" t="str">
        <f t="shared" si="15"/>
        <v>Old</v>
      </c>
      <c r="N990" t="s">
        <v>18</v>
      </c>
    </row>
    <row r="991" spans="1:14" x14ac:dyDescent="0.3">
      <c r="A991">
        <v>29134</v>
      </c>
      <c r="B991" t="s">
        <v>36</v>
      </c>
      <c r="C991" t="s">
        <v>39</v>
      </c>
      <c r="D991" s="1">
        <v>60000</v>
      </c>
      <c r="E991">
        <v>4</v>
      </c>
      <c r="F991" t="s">
        <v>13</v>
      </c>
      <c r="G991" t="s">
        <v>14</v>
      </c>
      <c r="H991" t="s">
        <v>18</v>
      </c>
      <c r="I991">
        <v>3</v>
      </c>
      <c r="J991" t="s">
        <v>40</v>
      </c>
      <c r="K991" t="s">
        <v>32</v>
      </c>
      <c r="L991">
        <v>42</v>
      </c>
      <c r="M991" t="str">
        <f t="shared" si="15"/>
        <v>Middle Age</v>
      </c>
      <c r="N991" t="s">
        <v>18</v>
      </c>
    </row>
    <row r="992" spans="1:14" x14ac:dyDescent="0.3">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1">
        <v>60000</v>
      </c>
      <c r="E1001">
        <v>3</v>
      </c>
      <c r="F1001" t="s">
        <v>27</v>
      </c>
      <c r="G1001" t="s">
        <v>21</v>
      </c>
      <c r="H1001" t="s">
        <v>15</v>
      </c>
      <c r="I1001">
        <v>2</v>
      </c>
      <c r="J1001" t="s">
        <v>40</v>
      </c>
      <c r="K1001" t="s">
        <v>32</v>
      </c>
      <c r="L1001">
        <v>53</v>
      </c>
      <c r="M1001" t="str">
        <f t="shared" si="15"/>
        <v>Middle Age</v>
      </c>
      <c r="N1001" t="s">
        <v>15</v>
      </c>
    </row>
  </sheetData>
  <autoFilter ref="A1:N1001" xr:uid="{76E46465-B169-44A6-8A24-74E47CE335B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04CBB-E1E6-4DBA-BFA4-59B3477DFE46}">
  <dimension ref="A4:D41"/>
  <sheetViews>
    <sheetView workbookViewId="0">
      <selection activeCell="N12" sqref="N12"/>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 min="5" max="10" width="10.109375" bestFit="1" customWidth="1"/>
    <col min="11" max="16" width="11.109375" bestFit="1" customWidth="1"/>
    <col min="17" max="17" width="8.109375" bestFit="1" customWidth="1"/>
    <col min="18" max="26" width="10.109375" bestFit="1" customWidth="1"/>
    <col min="27" max="33" width="11.109375" bestFit="1" customWidth="1"/>
    <col min="34" max="34" width="8.44140625" bestFit="1" customWidth="1"/>
    <col min="35" max="35" width="10.77734375" bestFit="1" customWidth="1"/>
  </cols>
  <sheetData>
    <row r="4" spans="1:4" x14ac:dyDescent="0.3">
      <c r="A4" s="4" t="s">
        <v>45</v>
      </c>
      <c r="B4" s="6" t="s">
        <v>44</v>
      </c>
      <c r="C4" s="3"/>
      <c r="D4" s="3"/>
    </row>
    <row r="5" spans="1:4" x14ac:dyDescent="0.3">
      <c r="A5" s="4" t="s">
        <v>42</v>
      </c>
      <c r="B5" s="7" t="s">
        <v>18</v>
      </c>
      <c r="C5" s="7" t="s">
        <v>15</v>
      </c>
      <c r="D5" s="7" t="s">
        <v>43</v>
      </c>
    </row>
    <row r="6" spans="1:4" x14ac:dyDescent="0.3">
      <c r="A6" s="5" t="s">
        <v>38</v>
      </c>
      <c r="B6" s="8">
        <v>30000</v>
      </c>
      <c r="C6" s="8">
        <v>33333.333333333336</v>
      </c>
      <c r="D6" s="8">
        <v>32000</v>
      </c>
    </row>
    <row r="7" spans="1:4" x14ac:dyDescent="0.3">
      <c r="A7" s="5" t="s">
        <v>39</v>
      </c>
      <c r="B7" s="8">
        <v>30000</v>
      </c>
      <c r="C7" s="8">
        <v>25000</v>
      </c>
      <c r="D7" s="8">
        <v>26666.666666666668</v>
      </c>
    </row>
    <row r="8" spans="1:4" x14ac:dyDescent="0.3">
      <c r="A8" s="5" t="s">
        <v>43</v>
      </c>
      <c r="B8" s="8">
        <v>30000</v>
      </c>
      <c r="C8" s="8">
        <v>30000</v>
      </c>
      <c r="D8" s="8">
        <v>30000</v>
      </c>
    </row>
    <row r="18" spans="1:4" x14ac:dyDescent="0.3">
      <c r="A18" s="4" t="s">
        <v>48</v>
      </c>
      <c r="B18" s="4" t="s">
        <v>44</v>
      </c>
    </row>
    <row r="19" spans="1:4" x14ac:dyDescent="0.3">
      <c r="A19" s="4" t="s">
        <v>42</v>
      </c>
      <c r="B19" t="s">
        <v>18</v>
      </c>
      <c r="C19" t="s">
        <v>15</v>
      </c>
      <c r="D19" s="3" t="s">
        <v>43</v>
      </c>
    </row>
    <row r="20" spans="1:4" x14ac:dyDescent="0.3">
      <c r="A20" s="5" t="s">
        <v>16</v>
      </c>
      <c r="B20" s="3"/>
      <c r="C20" s="3">
        <v>2</v>
      </c>
      <c r="D20" s="3">
        <v>2</v>
      </c>
    </row>
    <row r="21" spans="1:4" x14ac:dyDescent="0.3">
      <c r="A21" s="5" t="s">
        <v>26</v>
      </c>
      <c r="B21" s="3"/>
      <c r="C21" s="3">
        <v>1</v>
      </c>
      <c r="D21" s="3">
        <v>1</v>
      </c>
    </row>
    <row r="22" spans="1:4" x14ac:dyDescent="0.3">
      <c r="A22" s="5" t="s">
        <v>23</v>
      </c>
      <c r="B22" s="3">
        <v>3</v>
      </c>
      <c r="C22" s="3">
        <v>2</v>
      </c>
      <c r="D22" s="3">
        <v>5</v>
      </c>
    </row>
    <row r="23" spans="1:4" x14ac:dyDescent="0.3">
      <c r="A23" s="5" t="s">
        <v>43</v>
      </c>
      <c r="B23" s="3">
        <v>3</v>
      </c>
      <c r="C23" s="3">
        <v>5</v>
      </c>
      <c r="D23" s="3">
        <v>8</v>
      </c>
    </row>
    <row r="37" spans="1:4" x14ac:dyDescent="0.3">
      <c r="A37" s="4" t="s">
        <v>48</v>
      </c>
      <c r="B37" s="4" t="s">
        <v>44</v>
      </c>
    </row>
    <row r="38" spans="1:4" x14ac:dyDescent="0.3">
      <c r="A38" s="4" t="s">
        <v>42</v>
      </c>
      <c r="B38" t="s">
        <v>18</v>
      </c>
      <c r="C38" t="s">
        <v>15</v>
      </c>
      <c r="D38" t="s">
        <v>43</v>
      </c>
    </row>
    <row r="39" spans="1:4" x14ac:dyDescent="0.3">
      <c r="A39" s="5" t="s">
        <v>46</v>
      </c>
      <c r="B39" s="3"/>
      <c r="C39" s="3">
        <v>2</v>
      </c>
      <c r="D39" s="3">
        <v>2</v>
      </c>
    </row>
    <row r="40" spans="1:4" x14ac:dyDescent="0.3">
      <c r="A40" s="5" t="s">
        <v>47</v>
      </c>
      <c r="B40" s="3">
        <v>3</v>
      </c>
      <c r="C40" s="3">
        <v>3</v>
      </c>
      <c r="D40" s="3">
        <v>6</v>
      </c>
    </row>
    <row r="41" spans="1:4" x14ac:dyDescent="0.3">
      <c r="A41" s="5" t="s">
        <v>43</v>
      </c>
      <c r="B41" s="3">
        <v>3</v>
      </c>
      <c r="C41" s="3">
        <v>5</v>
      </c>
      <c r="D41" s="3">
        <v>8</v>
      </c>
    </row>
  </sheetData>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E6BCF-5516-4A03-9312-98597D285972}">
  <dimension ref="A1:O3"/>
  <sheetViews>
    <sheetView showGridLines="0" zoomScaleNormal="100" workbookViewId="0">
      <selection activeCell="U28" sqref="U28"/>
    </sheetView>
  </sheetViews>
  <sheetFormatPr defaultRowHeight="14.4" x14ac:dyDescent="0.3"/>
  <cols>
    <col min="1" max="1" width="6.33203125" customWidth="1"/>
    <col min="2" max="2" width="6" customWidth="1"/>
    <col min="3" max="3" width="5.88671875" customWidth="1"/>
    <col min="4" max="4" width="6.77734375" customWidth="1"/>
    <col min="5" max="5" width="7.21875" customWidth="1"/>
    <col min="6" max="6" width="6.88671875" customWidth="1"/>
    <col min="7" max="7" width="7.109375" customWidth="1"/>
    <col min="8" max="8" width="7.5546875" customWidth="1"/>
    <col min="9" max="9" width="6.44140625" customWidth="1"/>
    <col min="10" max="10" width="7.109375" customWidth="1"/>
    <col min="11" max="11" width="7" customWidth="1"/>
    <col min="12" max="12" width="7.109375" customWidth="1"/>
    <col min="13" max="14" width="6.6640625" customWidth="1"/>
    <col min="15" max="15" width="6.5546875" customWidth="1"/>
  </cols>
  <sheetData>
    <row r="1" spans="1:15" x14ac:dyDescent="0.3">
      <c r="A1" s="9"/>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ht="25.8" customHeight="1" x14ac:dyDescent="0.5">
      <c r="A3" s="9"/>
      <c r="B3" s="9"/>
      <c r="C3" s="9"/>
      <c r="D3" s="9"/>
      <c r="E3" s="9"/>
      <c r="F3" s="11" t="s">
        <v>49</v>
      </c>
      <c r="G3" s="9"/>
      <c r="H3" s="9"/>
      <c r="I3" s="9"/>
      <c r="J3" s="10"/>
      <c r="K3" s="9"/>
      <c r="L3" s="9"/>
      <c r="M3" s="9"/>
      <c r="N3" s="9"/>
      <c r="O3"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obatuyifunke140@outlook.com</cp:lastModifiedBy>
  <dcterms:created xsi:type="dcterms:W3CDTF">2022-03-18T02:50:57Z</dcterms:created>
  <dcterms:modified xsi:type="dcterms:W3CDTF">2026-02-18T13:01:01Z</dcterms:modified>
</cp:coreProperties>
</file>